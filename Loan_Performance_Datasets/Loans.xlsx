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omolo\OneDrive\Documents\Omolola_ogunrinde_Capstone\"/>
    </mc:Choice>
  </mc:AlternateContent>
  <xr:revisionPtr revIDLastSave="0" documentId="13_ncr:1_{773F9EC4-CCF9-496E-91EB-532407BFAB6B}" xr6:coauthVersionLast="47" xr6:coauthVersionMax="47" xr10:uidLastSave="{00000000-0000-0000-0000-000000000000}"/>
  <bookViews>
    <workbookView xWindow="-108" yWindow="-108" windowWidth="23256" windowHeight="12456" xr2:uid="{00000000-000D-0000-FFFF-FFFF00000000}"/>
  </bookViews>
  <sheets>
    <sheet name="loans" sheetId="1" r:id="rId1"/>
    <sheet name="cleaning log" sheetId="2" r:id="rId2"/>
    <sheet name="Pivot Analysis" sheetId="3" r:id="rId3"/>
  </sheets>
  <externalReferences>
    <externalReference r:id="rId4"/>
  </externalReferences>
  <definedNames>
    <definedName name="_xlnm._FilterDatabase" localSheetId="0" hidden="1">loans!$A$1:$O$501</definedName>
  </definedNames>
  <calcPr calcId="191029"/>
  <pivotCaches>
    <pivotCache cacheId="0"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 i="1" l="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2"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134"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alcChain>
</file>

<file path=xl/sharedStrings.xml><?xml version="1.0" encoding="utf-8"?>
<sst xmlns="http://schemas.openxmlformats.org/spreadsheetml/2006/main" count="4158" uniqueCount="858">
  <si>
    <t>loan_id</t>
  </si>
  <si>
    <t>customer_id</t>
  </si>
  <si>
    <t>branch_id</t>
  </si>
  <si>
    <t>rm_id</t>
  </si>
  <si>
    <t>loan_type</t>
  </si>
  <si>
    <t>loan_amount</t>
  </si>
  <si>
    <t>interest_rate</t>
  </si>
  <si>
    <t>tenure_months</t>
  </si>
  <si>
    <t>disbursement_date</t>
  </si>
  <si>
    <t>loan_status</t>
  </si>
  <si>
    <t>LN00369</t>
  </si>
  <si>
    <t>CUS0116</t>
  </si>
  <si>
    <t>BR005</t>
  </si>
  <si>
    <t>RM010</t>
  </si>
  <si>
    <t>Fully Paid</t>
  </si>
  <si>
    <t>LN00134</t>
  </si>
  <si>
    <t>CUS0102</t>
  </si>
  <si>
    <t>BR007</t>
  </si>
  <si>
    <t>RM014</t>
  </si>
  <si>
    <t>Defaulted</t>
  </si>
  <si>
    <t>LN00086</t>
  </si>
  <si>
    <t>CUS0051</t>
  </si>
  <si>
    <t>BR004</t>
  </si>
  <si>
    <t>RM008</t>
  </si>
  <si>
    <t>LN00494</t>
  </si>
  <si>
    <t>CUS0054</t>
  </si>
  <si>
    <t>BR009</t>
  </si>
  <si>
    <t>RM018</t>
  </si>
  <si>
    <t>LN00010</t>
  </si>
  <si>
    <t>CUS0098</t>
  </si>
  <si>
    <t>RM007</t>
  </si>
  <si>
    <t>LN00282</t>
  </si>
  <si>
    <t>CUS0169</t>
  </si>
  <si>
    <t>Active</t>
  </si>
  <si>
    <t>LN00328</t>
  </si>
  <si>
    <t>CUS0145</t>
  </si>
  <si>
    <t>BR008</t>
  </si>
  <si>
    <t>RM016</t>
  </si>
  <si>
    <t>LN00276</t>
  </si>
  <si>
    <t>Personal</t>
  </si>
  <si>
    <t>LN00036</t>
  </si>
  <si>
    <t>CUS0213</t>
  </si>
  <si>
    <t>BR010</t>
  </si>
  <si>
    <t>RM019</t>
  </si>
  <si>
    <t>LN00072</t>
  </si>
  <si>
    <t>CUS0166</t>
  </si>
  <si>
    <t>BR002</t>
  </si>
  <si>
    <t>RM004</t>
  </si>
  <si>
    <t>LN00001</t>
  </si>
  <si>
    <t>CUS0053</t>
  </si>
  <si>
    <t>BR003</t>
  </si>
  <si>
    <t>RM006</t>
  </si>
  <si>
    <t>LN00208</t>
  </si>
  <si>
    <t>CUS0092</t>
  </si>
  <si>
    <t>LN00354</t>
  </si>
  <si>
    <t>CUS0250</t>
  </si>
  <si>
    <t>BR001</t>
  </si>
  <si>
    <t>RM002</t>
  </si>
  <si>
    <t>LN00370</t>
  </si>
  <si>
    <t>CUS0069</t>
  </si>
  <si>
    <t>BR006</t>
  </si>
  <si>
    <t>RM011</t>
  </si>
  <si>
    <t>LN00090</t>
  </si>
  <si>
    <t>CUS0061</t>
  </si>
  <si>
    <t>LN00018</t>
  </si>
  <si>
    <t>CUS0159</t>
  </si>
  <si>
    <t>RM017</t>
  </si>
  <si>
    <t>LN00409</t>
  </si>
  <si>
    <t>CUS0230</t>
  </si>
  <si>
    <t>RM012</t>
  </si>
  <si>
    <t>LN00491</t>
  </si>
  <si>
    <t>CUS0226</t>
  </si>
  <si>
    <t>LN00392</t>
  </si>
  <si>
    <t>CUS0018</t>
  </si>
  <si>
    <t>RM001</t>
  </si>
  <si>
    <t>LN00034</t>
  </si>
  <si>
    <t>CUS0075</t>
  </si>
  <si>
    <t>LN00380</t>
  </si>
  <si>
    <t>CUS0137</t>
  </si>
  <si>
    <t>LN00278</t>
  </si>
  <si>
    <t>CUS0033</t>
  </si>
  <si>
    <t>Business</t>
  </si>
  <si>
    <t>LN00394</t>
  </si>
  <si>
    <t>CUS0142</t>
  </si>
  <si>
    <t>LN00275</t>
  </si>
  <si>
    <t>LN00026</t>
  </si>
  <si>
    <t>LN00147</t>
  </si>
  <si>
    <t>CUS0014</t>
  </si>
  <si>
    <t>LN00297</t>
  </si>
  <si>
    <t>CUS0155</t>
  </si>
  <si>
    <t>LN00061</t>
  </si>
  <si>
    <t>CUS0188</t>
  </si>
  <si>
    <t>LN00099</t>
  </si>
  <si>
    <t>CUS0106</t>
  </si>
  <si>
    <t>LN00070</t>
  </si>
  <si>
    <t>CUS0187</t>
  </si>
  <si>
    <t>RM003</t>
  </si>
  <si>
    <t>LN00266</t>
  </si>
  <si>
    <t>CUS0204</t>
  </si>
  <si>
    <t>LN00397</t>
  </si>
  <si>
    <t>CUS0031</t>
  </si>
  <si>
    <t>LN00313</t>
  </si>
  <si>
    <t>CUS0233</t>
  </si>
  <si>
    <t>LN00450</t>
  </si>
  <si>
    <t>CUS0125</t>
  </si>
  <si>
    <t>LN00016</t>
  </si>
  <si>
    <t>CUS0016</t>
  </si>
  <si>
    <t>LN00361</t>
  </si>
  <si>
    <t>CUS0245</t>
  </si>
  <si>
    <t>LN00053</t>
  </si>
  <si>
    <t>CUS0118</t>
  </si>
  <si>
    <t>LN00448</t>
  </si>
  <si>
    <t>CUS0050</t>
  </si>
  <si>
    <t>LN00438</t>
  </si>
  <si>
    <t>CUS0131</t>
  </si>
  <si>
    <t>LN00032</t>
  </si>
  <si>
    <t>CUS0158</t>
  </si>
  <si>
    <t>LN00248</t>
  </si>
  <si>
    <t>CUS0004</t>
  </si>
  <si>
    <t>LN00475</t>
  </si>
  <si>
    <t>CUS0087</t>
  </si>
  <si>
    <t>RM015</t>
  </si>
  <si>
    <t>LN00237</t>
  </si>
  <si>
    <t>CUS0133</t>
  </si>
  <si>
    <t>LN00277</t>
  </si>
  <si>
    <t>CUS0024</t>
  </si>
  <si>
    <t>LN00399</t>
  </si>
  <si>
    <t>CUS0013</t>
  </si>
  <si>
    <t>LN00341</t>
  </si>
  <si>
    <t>CUS0237</t>
  </si>
  <si>
    <t>LN00126</t>
  </si>
  <si>
    <t>CUS0224</t>
  </si>
  <si>
    <t>LN00133</t>
  </si>
  <si>
    <t>CUS0214</t>
  </si>
  <si>
    <t>RM005</t>
  </si>
  <si>
    <t>LN00059</t>
  </si>
  <si>
    <t>LN00113</t>
  </si>
  <si>
    <t>CUS0108</t>
  </si>
  <si>
    <t>LN00375</t>
  </si>
  <si>
    <t>LN00152</t>
  </si>
  <si>
    <t>CUS0243</t>
  </si>
  <si>
    <t>LN00444</t>
  </si>
  <si>
    <t>CUS0032</t>
  </si>
  <si>
    <t>LN00295</t>
  </si>
  <si>
    <t>CUS0186</t>
  </si>
  <si>
    <t>RM009</t>
  </si>
  <si>
    <t>LN00108</t>
  </si>
  <si>
    <t>CUS0041</t>
  </si>
  <si>
    <t>RM013</t>
  </si>
  <si>
    <t>LN00449</t>
  </si>
  <si>
    <t>CUS0078</t>
  </si>
  <si>
    <t>LN00051</t>
  </si>
  <si>
    <t>LN00436</t>
  </si>
  <si>
    <t>CUS0103</t>
  </si>
  <si>
    <t>LN00269</t>
  </si>
  <si>
    <t>CUS0070</t>
  </si>
  <si>
    <t>LN00323</t>
  </si>
  <si>
    <t>LN00466</t>
  </si>
  <si>
    <t>CUS0128</t>
  </si>
  <si>
    <t>LN00260</t>
  </si>
  <si>
    <t>CUS0198</t>
  </si>
  <si>
    <t>LN00395</t>
  </si>
  <si>
    <t>CUS0113</t>
  </si>
  <si>
    <t>LN00329</t>
  </si>
  <si>
    <t>CUS0074</t>
  </si>
  <si>
    <t>LN00304</t>
  </si>
  <si>
    <t>CUS0029</t>
  </si>
  <si>
    <t>LN00493</t>
  </si>
  <si>
    <t>LN00017</t>
  </si>
  <si>
    <t>CUS0071</t>
  </si>
  <si>
    <t>LN00368</t>
  </si>
  <si>
    <t>CUS0036</t>
  </si>
  <si>
    <t>LN00321</t>
  </si>
  <si>
    <t>CUS0185</t>
  </si>
  <si>
    <t>LN00157</t>
  </si>
  <si>
    <t>CUS0231</t>
  </si>
  <si>
    <t>LN00385</t>
  </si>
  <si>
    <t>LN00100</t>
  </si>
  <si>
    <t>CUS0162</t>
  </si>
  <si>
    <t>LN00057</t>
  </si>
  <si>
    <t>CUS0153</t>
  </si>
  <si>
    <t>LN00082</t>
  </si>
  <si>
    <t>CUS0094</t>
  </si>
  <si>
    <t>LN00164</t>
  </si>
  <si>
    <t>LN00228</t>
  </si>
  <si>
    <t>CUS0049</t>
  </si>
  <si>
    <t>LN00432</t>
  </si>
  <si>
    <t>LN00188</t>
  </si>
  <si>
    <t>CUS0042</t>
  </si>
  <si>
    <t>LN00268</t>
  </si>
  <si>
    <t>CUS0191</t>
  </si>
  <si>
    <t>LN00255</t>
  </si>
  <si>
    <t>CUS0200</t>
  </si>
  <si>
    <t>LN00359</t>
  </si>
  <si>
    <t>CUS0209</t>
  </si>
  <si>
    <t>LN00045</t>
  </si>
  <si>
    <t>CUS0152</t>
  </si>
  <si>
    <t>LN00089</t>
  </si>
  <si>
    <t>CUS0022</t>
  </si>
  <si>
    <t>LN00433</t>
  </si>
  <si>
    <t>CUS0139</t>
  </si>
  <si>
    <t>LN00198</t>
  </si>
  <si>
    <t>CUS0005</t>
  </si>
  <si>
    <t>LN00324</t>
  </si>
  <si>
    <t>LN00402</t>
  </si>
  <si>
    <t>CUS0043</t>
  </si>
  <si>
    <t>LN00083</t>
  </si>
  <si>
    <t>CUS0107</t>
  </si>
  <si>
    <t>LN00342</t>
  </si>
  <si>
    <t>CUS0086</t>
  </si>
  <si>
    <t>LN00009</t>
  </si>
  <si>
    <t>CUS0247</t>
  </si>
  <si>
    <t>LN00336</t>
  </si>
  <si>
    <t>CUS0023</t>
  </si>
  <si>
    <t>LN00041</t>
  </si>
  <si>
    <t>CUS0007</t>
  </si>
  <si>
    <t>LN00074</t>
  </si>
  <si>
    <t>LN00213</t>
  </si>
  <si>
    <t>CUS0248</t>
  </si>
  <si>
    <t>LN00478</t>
  </si>
  <si>
    <t>CUS0163</t>
  </si>
  <si>
    <t>LN00193</t>
  </si>
  <si>
    <t>CUS0235</t>
  </si>
  <si>
    <t>LN00008</t>
  </si>
  <si>
    <t>CUS0019</t>
  </si>
  <si>
    <t>LN00374</t>
  </si>
  <si>
    <t>LN00139</t>
  </si>
  <si>
    <t>CUS0160</t>
  </si>
  <si>
    <t>LN00462</t>
  </si>
  <si>
    <t>CUS0220</t>
  </si>
  <si>
    <t>LN00472</t>
  </si>
  <si>
    <t>CUS0249</t>
  </si>
  <si>
    <t>LN00348</t>
  </si>
  <si>
    <t>CUS0134</t>
  </si>
  <si>
    <t>LN00165</t>
  </si>
  <si>
    <t>CUS0176</t>
  </si>
  <si>
    <t>LN00243</t>
  </si>
  <si>
    <t>CUS0229</t>
  </si>
  <si>
    <t>LN00220</t>
  </si>
  <si>
    <t>CUS0147</t>
  </si>
  <si>
    <t>LN00225</t>
  </si>
  <si>
    <t>LN00434</t>
  </si>
  <si>
    <t>CUS0040</t>
  </si>
  <si>
    <t>LN00477</t>
  </si>
  <si>
    <t>LN00156</t>
  </si>
  <si>
    <t>LN00143</t>
  </si>
  <si>
    <t>CUS0183</t>
  </si>
  <si>
    <t>LN00071</t>
  </si>
  <si>
    <t>LN00376</t>
  </si>
  <si>
    <t>LN00267</t>
  </si>
  <si>
    <t>LN00483</t>
  </si>
  <si>
    <t>CUS0062</t>
  </si>
  <si>
    <t>LN00095</t>
  </si>
  <si>
    <t>LN00445</t>
  </si>
  <si>
    <t>LN00322</t>
  </si>
  <si>
    <t>CUS0063</t>
  </si>
  <si>
    <t>LN00425</t>
  </si>
  <si>
    <t>CUS0095</t>
  </si>
  <si>
    <t>LN00056</t>
  </si>
  <si>
    <t>CUS0182</t>
  </si>
  <si>
    <t>LN00428</t>
  </si>
  <si>
    <t>CUS0017</t>
  </si>
  <si>
    <t>LN00141</t>
  </si>
  <si>
    <t>CUS0039</t>
  </si>
  <si>
    <t>LN00201</t>
  </si>
  <si>
    <t>LN00333</t>
  </si>
  <si>
    <t>CUS0157</t>
  </si>
  <si>
    <t>LN00180</t>
  </si>
  <si>
    <t>LN00317</t>
  </si>
  <si>
    <t>LN00154</t>
  </si>
  <si>
    <t>LN00291</t>
  </si>
  <si>
    <t>CUS0141</t>
  </si>
  <si>
    <t>LN00239</t>
  </si>
  <si>
    <t>LN00052</t>
  </si>
  <si>
    <t>CUS0126</t>
  </si>
  <si>
    <t>LN00331</t>
  </si>
  <si>
    <t>LN00195</t>
  </si>
  <si>
    <t>LN00349</t>
  </si>
  <si>
    <t>LN00476</t>
  </si>
  <si>
    <t>CUS0121</t>
  </si>
  <si>
    <t>LN00114</t>
  </si>
  <si>
    <t>CUS0167</t>
  </si>
  <si>
    <t>RM020</t>
  </si>
  <si>
    <t>LN00338</t>
  </si>
  <si>
    <t>LN00257</t>
  </si>
  <si>
    <t>CUS0059</t>
  </si>
  <si>
    <t>LN00178</t>
  </si>
  <si>
    <t>CUS0130</t>
  </si>
  <si>
    <t>LN00468</t>
  </si>
  <si>
    <t>CUS0052</t>
  </si>
  <si>
    <t>LN00230</t>
  </si>
  <si>
    <t>LN00200</t>
  </si>
  <si>
    <t>LN00211</t>
  </si>
  <si>
    <t>LN00413</t>
  </si>
  <si>
    <t>CUS0044</t>
  </si>
  <si>
    <t>LN00389</t>
  </si>
  <si>
    <t>CUS0197</t>
  </si>
  <si>
    <t>LN00212</t>
  </si>
  <si>
    <t>CUS0218</t>
  </si>
  <si>
    <t>LN00273</t>
  </si>
  <si>
    <t>CUS0064</t>
  </si>
  <si>
    <t>LN00412</t>
  </si>
  <si>
    <t>LN00457</t>
  </si>
  <si>
    <t>LN00452</t>
  </si>
  <si>
    <t>LN00124</t>
  </si>
  <si>
    <t>LN00054</t>
  </si>
  <si>
    <t>LN00007</t>
  </si>
  <si>
    <t>LN00440</t>
  </si>
  <si>
    <t>CUS0109</t>
  </si>
  <si>
    <t>LN00429</t>
  </si>
  <si>
    <t>CUS0171</t>
  </si>
  <si>
    <t>LN00454</t>
  </si>
  <si>
    <t>CUS0177</t>
  </si>
  <si>
    <t>LN00335</t>
  </si>
  <si>
    <t>CUS0135</t>
  </si>
  <si>
    <t>LN00177</t>
  </si>
  <si>
    <t>CUS0150</t>
  </si>
  <si>
    <t>LN00035</t>
  </si>
  <si>
    <t>CUS0239</t>
  </si>
  <si>
    <t>LN00247</t>
  </si>
  <si>
    <t>CUS0009</t>
  </si>
  <si>
    <t>LN00315</t>
  </si>
  <si>
    <t>CUS0143</t>
  </si>
  <si>
    <t>LN00262</t>
  </si>
  <si>
    <t>CUS0084</t>
  </si>
  <si>
    <t>LN00356</t>
  </si>
  <si>
    <t>CUS0202</t>
  </si>
  <si>
    <t>LN00489</t>
  </si>
  <si>
    <t>LN00158</t>
  </si>
  <si>
    <t>LN00284</t>
  </si>
  <si>
    <t>LN00386</t>
  </si>
  <si>
    <t>LN00125</t>
  </si>
  <si>
    <t>CUS0067</t>
  </si>
  <si>
    <t>LN00187</t>
  </si>
  <si>
    <t>CUS0046</t>
  </si>
  <si>
    <t>LN00316</t>
  </si>
  <si>
    <t>CUS0114</t>
  </si>
  <si>
    <t>LN00104</t>
  </si>
  <si>
    <t>CUS0234</t>
  </si>
  <si>
    <t>LN00455</t>
  </si>
  <si>
    <t>LN00250</t>
  </si>
  <si>
    <t>LN00168</t>
  </si>
  <si>
    <t>CUS0240</t>
  </si>
  <si>
    <t>LN00469</t>
  </si>
  <si>
    <t>CUS0196</t>
  </si>
  <si>
    <t>LN00004</t>
  </si>
  <si>
    <t>CUS0045</t>
  </si>
  <si>
    <t>LN00339</t>
  </si>
  <si>
    <t>CUS0144</t>
  </si>
  <si>
    <t>LN00102</t>
  </si>
  <si>
    <t>LN00002</t>
  </si>
  <si>
    <t>CUS0222</t>
  </si>
  <si>
    <t>LN00487</t>
  </si>
  <si>
    <t>CUS0077</t>
  </si>
  <si>
    <t>LN00419</t>
  </si>
  <si>
    <t>CUS0048</t>
  </si>
  <si>
    <t>LN00245</t>
  </si>
  <si>
    <t>LN00173</t>
  </si>
  <si>
    <t>CUS0025</t>
  </si>
  <si>
    <t>LN00443</t>
  </si>
  <si>
    <t>LN00430</t>
  </si>
  <si>
    <t>LN00218</t>
  </si>
  <si>
    <t>LN00191</t>
  </si>
  <si>
    <t>CUS0055</t>
  </si>
  <si>
    <t>LN00327</t>
  </si>
  <si>
    <t>LN00393</t>
  </si>
  <si>
    <t>LN00088</t>
  </si>
  <si>
    <t>LN00283</t>
  </si>
  <si>
    <t>LN00160</t>
  </si>
  <si>
    <t>LN00116</t>
  </si>
  <si>
    <t>CUS0111</t>
  </si>
  <si>
    <t>LN00172</t>
  </si>
  <si>
    <t>LN00194</t>
  </si>
  <si>
    <t>CUS0115</t>
  </si>
  <si>
    <t>LN00117</t>
  </si>
  <si>
    <t>LN00186</t>
  </si>
  <si>
    <t>CUS0058</t>
  </si>
  <si>
    <t>LN00151</t>
  </si>
  <si>
    <t>LN00081</t>
  </si>
  <si>
    <t>CUS0066</t>
  </si>
  <si>
    <t>LN00274</t>
  </si>
  <si>
    <t>LN00181</t>
  </si>
  <si>
    <t>CUS0195</t>
  </si>
  <si>
    <t>LN00294</t>
  </si>
  <si>
    <t>LN00424</t>
  </si>
  <si>
    <t>LN00234</t>
  </si>
  <si>
    <t>LN00101</t>
  </si>
  <si>
    <t>CUS0083</t>
  </si>
  <si>
    <t>LN00271</t>
  </si>
  <si>
    <t>LN00330</t>
  </si>
  <si>
    <t>LN00296</t>
  </si>
  <si>
    <t>LN00365</t>
  </si>
  <si>
    <t>CUS0221</t>
  </si>
  <si>
    <t>LN00382</t>
  </si>
  <si>
    <t>LN00427</t>
  </si>
  <si>
    <t>CUS0076</t>
  </si>
  <si>
    <t>LN00030</t>
  </si>
  <si>
    <t>LN00005</t>
  </si>
  <si>
    <t>LN00129</t>
  </si>
  <si>
    <t>CUS0085</t>
  </si>
  <si>
    <t>LN00458</t>
  </si>
  <si>
    <t>LN00360</t>
  </si>
  <si>
    <t>CUS0020</t>
  </si>
  <si>
    <t>LN00150</t>
  </si>
  <si>
    <t>LN00404</t>
  </si>
  <si>
    <t>LN00091</t>
  </si>
  <si>
    <t>CUS0035</t>
  </si>
  <si>
    <t>LN00065</t>
  </si>
  <si>
    <t>LN00209</t>
  </si>
  <si>
    <t>CUS0068</t>
  </si>
  <si>
    <t>LN00350</t>
  </si>
  <si>
    <t>LN00400</t>
  </si>
  <si>
    <t>LN00170</t>
  </si>
  <si>
    <t>LN00119</t>
  </si>
  <si>
    <t>LN00309</t>
  </si>
  <si>
    <t>LN00495</t>
  </si>
  <si>
    <t>LN00310</t>
  </si>
  <si>
    <t>CUS0136</t>
  </si>
  <si>
    <t>LN00346</t>
  </si>
  <si>
    <t>LN00388</t>
  </si>
  <si>
    <t>LN00453</t>
  </si>
  <si>
    <t>LN00012</t>
  </si>
  <si>
    <t>LN00020</t>
  </si>
  <si>
    <t>CUS0003</t>
  </si>
  <si>
    <t>LN00142</t>
  </si>
  <si>
    <t>LN00013</t>
  </si>
  <si>
    <t>CUS0168</t>
  </si>
  <si>
    <t>LN00290</t>
  </si>
  <si>
    <t>CUS0081</t>
  </si>
  <si>
    <t>LN00358</t>
  </si>
  <si>
    <t>CUS0119</t>
  </si>
  <si>
    <t>LN00110</t>
  </si>
  <si>
    <t>CUS0101</t>
  </si>
  <si>
    <t>LN00490</t>
  </si>
  <si>
    <t>LN00357</t>
  </si>
  <si>
    <t>CUS0090</t>
  </si>
  <si>
    <t>LN00216</t>
  </si>
  <si>
    <t>LN00371</t>
  </si>
  <si>
    <t>LN00396</t>
  </si>
  <si>
    <t>CUS0079</t>
  </si>
  <si>
    <t>LN00176</t>
  </si>
  <si>
    <t>LN00033</t>
  </si>
  <si>
    <t>LN00039</t>
  </si>
  <si>
    <t>CUS0174</t>
  </si>
  <si>
    <t>LN00379</t>
  </si>
  <si>
    <t>LN00423</t>
  </si>
  <si>
    <t>CUS0149</t>
  </si>
  <si>
    <t>LN00206</t>
  </si>
  <si>
    <t>LN00320</t>
  </si>
  <si>
    <t>LN00264</t>
  </si>
  <si>
    <t>LN00112</t>
  </si>
  <si>
    <t>LN00120</t>
  </si>
  <si>
    <t>CUS0100</t>
  </si>
  <si>
    <t>LN00481</t>
  </si>
  <si>
    <t>LN00043</t>
  </si>
  <si>
    <t>LN00367</t>
  </si>
  <si>
    <t>LN00080</t>
  </si>
  <si>
    <t>LN00485</t>
  </si>
  <si>
    <t>CUS0212</t>
  </si>
  <si>
    <t>LN00238</t>
  </si>
  <si>
    <t>LN00175</t>
  </si>
  <si>
    <t>LN00279</t>
  </si>
  <si>
    <t>CUS0065</t>
  </si>
  <si>
    <t>LN00459</t>
  </si>
  <si>
    <t>CUS0028</t>
  </si>
  <si>
    <t>LN00302</t>
  </si>
  <si>
    <t>LN00219</t>
  </si>
  <si>
    <t>LN00223</t>
  </si>
  <si>
    <t>LN00096</t>
  </si>
  <si>
    <t>LN00280</t>
  </si>
  <si>
    <t>CUS0120</t>
  </si>
  <si>
    <t>LN00441</t>
  </si>
  <si>
    <t>LN00047</t>
  </si>
  <si>
    <t>LN00456</t>
  </si>
  <si>
    <t>LN00319</t>
  </si>
  <si>
    <t>LN00244</t>
  </si>
  <si>
    <t>LN00312</t>
  </si>
  <si>
    <t>LN00229</t>
  </si>
  <si>
    <t>CUS0105</t>
  </si>
  <si>
    <t>LN00251</t>
  </si>
  <si>
    <t>LN00103</t>
  </si>
  <si>
    <t>CUS0189</t>
  </si>
  <si>
    <t>LN00263</t>
  </si>
  <si>
    <t>LN00189</t>
  </si>
  <si>
    <t>CUS0161</t>
  </si>
  <si>
    <t>LN00050</t>
  </si>
  <si>
    <t>LN00184</t>
  </si>
  <si>
    <t>CUS0190</t>
  </si>
  <si>
    <t>LN00437</t>
  </si>
  <si>
    <t>LN00159</t>
  </si>
  <si>
    <t>LN00410</t>
  </si>
  <si>
    <t>LN00387</t>
  </si>
  <si>
    <t>CUS0178</t>
  </si>
  <si>
    <t>LN00153</t>
  </si>
  <si>
    <t>LN00062</t>
  </si>
  <si>
    <t>CUS0127</t>
  </si>
  <si>
    <t>LN00325</t>
  </si>
  <si>
    <t>LN00471</t>
  </si>
  <si>
    <t>LN00207</t>
  </si>
  <si>
    <t>LN00199</t>
  </si>
  <si>
    <t>CUS0129</t>
  </si>
  <si>
    <t>LN00372</t>
  </si>
  <si>
    <t>LN00107</t>
  </si>
  <si>
    <t>CUS0037</t>
  </si>
  <si>
    <t>LN00011</t>
  </si>
  <si>
    <t>LN00414</t>
  </si>
  <si>
    <t>LN00301</t>
  </si>
  <si>
    <t>LN00123</t>
  </si>
  <si>
    <t>LN00492</t>
  </si>
  <si>
    <t>CUS0170</t>
  </si>
  <si>
    <t>LN00131</t>
  </si>
  <si>
    <t>LN00205</t>
  </si>
  <si>
    <t>LN00463</t>
  </si>
  <si>
    <t>LN00431</t>
  </si>
  <si>
    <t>LN00281</t>
  </si>
  <si>
    <t>CUS0001</t>
  </si>
  <si>
    <t>LN00037</t>
  </si>
  <si>
    <t>CUS0097</t>
  </si>
  <si>
    <t>LN00029</t>
  </si>
  <si>
    <t>LN00308</t>
  </si>
  <si>
    <t>CUS0093</t>
  </si>
  <si>
    <t>LN00398</t>
  </si>
  <si>
    <t>LN00025</t>
  </si>
  <si>
    <t>LN00345</t>
  </si>
  <si>
    <t>LN00498</t>
  </si>
  <si>
    <t>LN00292</t>
  </si>
  <si>
    <t>LN00167</t>
  </si>
  <si>
    <t>LN00232</t>
  </si>
  <si>
    <t>LN00405</t>
  </si>
  <si>
    <t>CUS0002</t>
  </si>
  <si>
    <t>LN00334</t>
  </si>
  <si>
    <t>LN00343</t>
  </si>
  <si>
    <t>LN00305</t>
  </si>
  <si>
    <t>LN00138</t>
  </si>
  <si>
    <t>LN00233</t>
  </si>
  <si>
    <t>CUS0038</t>
  </si>
  <si>
    <t>LN00246</t>
  </si>
  <si>
    <t>LN00236</t>
  </si>
  <si>
    <t>LN00042</t>
  </si>
  <si>
    <t>LN00482</t>
  </si>
  <si>
    <t>LN00079</t>
  </si>
  <si>
    <t>LN00464</t>
  </si>
  <si>
    <t>CUS0104</t>
  </si>
  <si>
    <t>LN00055</t>
  </si>
  <si>
    <t>LN00303</t>
  </si>
  <si>
    <t>CUS0206</t>
  </si>
  <si>
    <t>LN00192</t>
  </si>
  <si>
    <t>LN00202</t>
  </si>
  <si>
    <t>LN00063</t>
  </si>
  <si>
    <t>LN00353</t>
  </si>
  <si>
    <t>CUS0181</t>
  </si>
  <si>
    <t>LN00014</t>
  </si>
  <si>
    <t>LN00169</t>
  </si>
  <si>
    <t>LN00451</t>
  </si>
  <si>
    <t>LN00403</t>
  </si>
  <si>
    <t>LN00127</t>
  </si>
  <si>
    <t>CUS0241</t>
  </si>
  <si>
    <t>LN00040</t>
  </si>
  <si>
    <t>LN00214</t>
  </si>
  <si>
    <t>CUS0172</t>
  </si>
  <si>
    <t>LN00461</t>
  </si>
  <si>
    <t>CUS0117</t>
  </si>
  <si>
    <t>LN00293</t>
  </si>
  <si>
    <t>LN00270</t>
  </si>
  <si>
    <t>CUS0073</t>
  </si>
  <si>
    <t>LN00435</t>
  </si>
  <si>
    <t>LN00473</t>
  </si>
  <si>
    <t>LN00460</t>
  </si>
  <si>
    <t>LN00300</t>
  </si>
  <si>
    <t>CUS0179</t>
  </si>
  <si>
    <t>LN00340</t>
  </si>
  <si>
    <t>LN00289</t>
  </si>
  <si>
    <t>CUS0027</t>
  </si>
  <si>
    <t>LN00140</t>
  </si>
  <si>
    <t>CUS0124</t>
  </si>
  <si>
    <t>LN00261</t>
  </si>
  <si>
    <t>LN00420</t>
  </si>
  <si>
    <t>CUS0110</t>
  </si>
  <si>
    <t>LN00486</t>
  </si>
  <si>
    <t>CUS0008</t>
  </si>
  <si>
    <t>LN00146</t>
  </si>
  <si>
    <t>LN00048</t>
  </si>
  <si>
    <t>LN00179</t>
  </si>
  <si>
    <t>CUS0227</t>
  </si>
  <si>
    <t>LN00064</t>
  </si>
  <si>
    <t>CUS0246</t>
  </si>
  <si>
    <t>LN00076</t>
  </si>
  <si>
    <t>LN00058</t>
  </si>
  <si>
    <t>LN00418</t>
  </si>
  <si>
    <t>LN00470</t>
  </si>
  <si>
    <t>LN00249</t>
  </si>
  <si>
    <t>LN00288</t>
  </si>
  <si>
    <t>LN00183</t>
  </si>
  <si>
    <t>LN00227</t>
  </si>
  <si>
    <t>LN00021</t>
  </si>
  <si>
    <t>CUS0236</t>
  </si>
  <si>
    <t>LN00500</t>
  </si>
  <si>
    <t>LN00407</t>
  </si>
  <si>
    <t>LN00391</t>
  </si>
  <si>
    <t>LN00416</t>
  </si>
  <si>
    <t>LN00362</t>
  </si>
  <si>
    <t>CUS0210</t>
  </si>
  <si>
    <t>LN00084</t>
  </si>
  <si>
    <t>LN00408</t>
  </si>
  <si>
    <t>LN00467</t>
  </si>
  <si>
    <t>LN00019</t>
  </si>
  <si>
    <t>LN00094</t>
  </si>
  <si>
    <t>LN00118</t>
  </si>
  <si>
    <t>LN00381</t>
  </si>
  <si>
    <t>LN00077</t>
  </si>
  <si>
    <t>CUS0015</t>
  </si>
  <si>
    <t>LN00488</t>
  </si>
  <si>
    <t>LN00028</t>
  </si>
  <si>
    <t>LN00226</t>
  </si>
  <si>
    <t>CUS0012</t>
  </si>
  <si>
    <t>LN00326</t>
  </si>
  <si>
    <t>LN00337</t>
  </si>
  <si>
    <t>LN00285</t>
  </si>
  <si>
    <t>LN00078</t>
  </si>
  <si>
    <t>LN00252</t>
  </si>
  <si>
    <t>LN00378</t>
  </si>
  <si>
    <t>CUS0211</t>
  </si>
  <si>
    <t>LN00162</t>
  </si>
  <si>
    <t>LN00085</t>
  </si>
  <si>
    <t>LN00224</t>
  </si>
  <si>
    <t>LN00484</t>
  </si>
  <si>
    <t>LN00265</t>
  </si>
  <si>
    <t>LN00136</t>
  </si>
  <si>
    <t>LN00390</t>
  </si>
  <si>
    <t>LN00314</t>
  </si>
  <si>
    <t>CUS0080</t>
  </si>
  <si>
    <t>LN00480</t>
  </si>
  <si>
    <t>LN00497</t>
  </si>
  <si>
    <t>LN00185</t>
  </si>
  <si>
    <t>LN00144</t>
  </si>
  <si>
    <t>LN00256</t>
  </si>
  <si>
    <t>LN00066</t>
  </si>
  <si>
    <t>CUS0123</t>
  </si>
  <si>
    <t>LN00023</t>
  </si>
  <si>
    <t>LN00161</t>
  </si>
  <si>
    <t>CUS0219</t>
  </si>
  <si>
    <t>LN00060</t>
  </si>
  <si>
    <t>LN00421</t>
  </si>
  <si>
    <t>LN00073</t>
  </si>
  <si>
    <t>LN00222</t>
  </si>
  <si>
    <t>LN00272</t>
  </si>
  <si>
    <t>CUS0199</t>
  </si>
  <si>
    <t>LN00496</t>
  </si>
  <si>
    <t>LN00163</t>
  </si>
  <si>
    <t>LN00046</t>
  </si>
  <si>
    <t>LN00426</t>
  </si>
  <si>
    <t>LN00240</t>
  </si>
  <si>
    <t>LN00174</t>
  </si>
  <si>
    <t>LN00253</t>
  </si>
  <si>
    <t>LN00258</t>
  </si>
  <si>
    <t>CUS0192</t>
  </si>
  <si>
    <t>LN00087</t>
  </si>
  <si>
    <t>LN00092</t>
  </si>
  <si>
    <t>LN00298</t>
  </si>
  <si>
    <t>CUS0057</t>
  </si>
  <si>
    <t>LN00022</t>
  </si>
  <si>
    <t>LN00287</t>
  </si>
  <si>
    <t>CUS0056</t>
  </si>
  <si>
    <t>LN00068</t>
  </si>
  <si>
    <t>LN00474</t>
  </si>
  <si>
    <t>LN00203</t>
  </si>
  <si>
    <t>LN00155</t>
  </si>
  <si>
    <t>LN00499</t>
  </si>
  <si>
    <t>LN00318</t>
  </si>
  <si>
    <t>CUS0217</t>
  </si>
  <si>
    <t>LN00259</t>
  </si>
  <si>
    <t>CUS0180</t>
  </si>
  <si>
    <t>LN00130</t>
  </si>
  <si>
    <t>CUS0216</t>
  </si>
  <si>
    <t>LN00003</t>
  </si>
  <si>
    <t>LN00024</t>
  </si>
  <si>
    <t>LN00415</t>
  </si>
  <si>
    <t>LN00384</t>
  </si>
  <si>
    <t>LN00364</t>
  </si>
  <si>
    <t>LN00307</t>
  </si>
  <si>
    <t>LN00411</t>
  </si>
  <si>
    <t>LN00344</t>
  </si>
  <si>
    <t>LN00311</t>
  </si>
  <si>
    <t>LN00182</t>
  </si>
  <si>
    <t>LN00242</t>
  </si>
  <si>
    <t>LN00479</t>
  </si>
  <si>
    <t>LN00171</t>
  </si>
  <si>
    <t>LN00027</t>
  </si>
  <si>
    <t>LN00031</t>
  </si>
  <si>
    <t>LN00286</t>
  </si>
  <si>
    <t>LN00049</t>
  </si>
  <si>
    <t>LN00038</t>
  </si>
  <si>
    <t>LN00132</t>
  </si>
  <si>
    <t>CUS0132</t>
  </si>
  <si>
    <t>LN00306</t>
  </si>
  <si>
    <t>LN00377</t>
  </si>
  <si>
    <t>LN00217</t>
  </si>
  <si>
    <t>LN00363</t>
  </si>
  <si>
    <t>LN00197</t>
  </si>
  <si>
    <t>LN00109</t>
  </si>
  <si>
    <t>LN00352</t>
  </si>
  <si>
    <t>LN00204</t>
  </si>
  <si>
    <t>LN00355</t>
  </si>
  <si>
    <t>LN00166</t>
  </si>
  <si>
    <t>LN00447</t>
  </si>
  <si>
    <t>LN00069</t>
  </si>
  <si>
    <t>LN00241</t>
  </si>
  <si>
    <t>CUS0030</t>
  </si>
  <si>
    <t>LN00006</t>
  </si>
  <si>
    <t>CUS0207</t>
  </si>
  <si>
    <t>LN00044</t>
  </si>
  <si>
    <t>LN00235</t>
  </si>
  <si>
    <t>LN00332</t>
  </si>
  <si>
    <t>LN00351</t>
  </si>
  <si>
    <t>LN00299</t>
  </si>
  <si>
    <t>LN00190</t>
  </si>
  <si>
    <t>LN00128</t>
  </si>
  <si>
    <t>CUS0122</t>
  </si>
  <si>
    <t>LN00231</t>
  </si>
  <si>
    <t>LN00121</t>
  </si>
  <si>
    <t>LN00135</t>
  </si>
  <si>
    <t>LN00149</t>
  </si>
  <si>
    <t>LN00015</t>
  </si>
  <si>
    <t>LN00075</t>
  </si>
  <si>
    <t>LN00406</t>
  </si>
  <si>
    <t>LN00210</t>
  </si>
  <si>
    <t>LN00093</t>
  </si>
  <si>
    <t>LN00215</t>
  </si>
  <si>
    <t>LN00097</t>
  </si>
  <si>
    <t>CUS0011</t>
  </si>
  <si>
    <t>LN00347</t>
  </si>
  <si>
    <t>LN00373</t>
  </si>
  <si>
    <t>LN00145</t>
  </si>
  <si>
    <t>LN00422</t>
  </si>
  <si>
    <t>LN00111</t>
  </si>
  <si>
    <t>LN00106</t>
  </si>
  <si>
    <t>LN00439</t>
  </si>
  <si>
    <t>LN00221</t>
  </si>
  <si>
    <t>LN00067</t>
  </si>
  <si>
    <t>LN00196</t>
  </si>
  <si>
    <t>LN00254</t>
  </si>
  <si>
    <t>LN00383</t>
  </si>
  <si>
    <t>LN00148</t>
  </si>
  <si>
    <t>LN00137</t>
  </si>
  <si>
    <t>LN00401</t>
  </si>
  <si>
    <t>CUS0215</t>
  </si>
  <si>
    <t>LN00417</t>
  </si>
  <si>
    <t>LN00442</t>
  </si>
  <si>
    <t>LN00098</t>
  </si>
  <si>
    <t>LN00105</t>
  </si>
  <si>
    <t>LN00366</t>
  </si>
  <si>
    <t>CUS0140</t>
  </si>
  <si>
    <t>LN00115</t>
  </si>
  <si>
    <t>LN00122</t>
  </si>
  <si>
    <t>LN00465</t>
  </si>
  <si>
    <t>LN00446</t>
  </si>
  <si>
    <t>Column</t>
  </si>
  <si>
    <t>Issue</t>
  </si>
  <si>
    <t>Action</t>
  </si>
  <si>
    <t>Table Name</t>
  </si>
  <si>
    <t>Sme</t>
  </si>
  <si>
    <t>Branches</t>
  </si>
  <si>
    <t>Branch_id</t>
  </si>
  <si>
    <t>Used the TRIM functionto remove excess spaces and pasted as values</t>
  </si>
  <si>
    <t>Date_opened</t>
  </si>
  <si>
    <t>Customers</t>
  </si>
  <si>
    <t>Contained hidden leading and trailing spaces</t>
  </si>
  <si>
    <t>Customer_segment</t>
  </si>
  <si>
    <t>Used the PROPER function to standardise casing and pasted as values</t>
  </si>
  <si>
    <t>Onboarding_date</t>
  </si>
  <si>
    <t xml:space="preserve">The dates were Formatted as text strings </t>
  </si>
  <si>
    <t>Age</t>
  </si>
  <si>
    <t>Found 11 blank cells representing missing ages.</t>
  </si>
  <si>
    <t>Used MEDIAN and IF Function to fill blanks with the median age of their specific customer segment.</t>
  </si>
  <si>
    <t>Staff</t>
  </si>
  <si>
    <t>Date_joined</t>
  </si>
  <si>
    <t>Used the TRIM function to remove excess spaces and pasted as values</t>
  </si>
  <si>
    <t>Target_amount</t>
  </si>
  <si>
    <t xml:space="preserve">Values were not formatted to proper currency type. </t>
  </si>
  <si>
    <t>Formatted Target_amount as Currency(₦)</t>
  </si>
  <si>
    <t>Repayment</t>
  </si>
  <si>
    <t>All Columns</t>
  </si>
  <si>
    <t>Contained 20 duplicate rows across the dataset</t>
  </si>
  <si>
    <t>Used the Remove Duplicates under the data tab to delete 20 duplicate rows.</t>
  </si>
  <si>
    <t>Payment_date</t>
  </si>
  <si>
    <t>Used the DATEVALUE function to convert to valid date values and changed the data format to short date</t>
  </si>
  <si>
    <t>Amount_paid</t>
  </si>
  <si>
    <t>Formatted Amount_paid as Currency(₦)</t>
  </si>
  <si>
    <t>Loans</t>
  </si>
  <si>
    <t>branch_name</t>
  </si>
  <si>
    <t>rm_name</t>
  </si>
  <si>
    <t>target_amount</t>
  </si>
  <si>
    <t>performance_flag</t>
  </si>
  <si>
    <t>Wuse II</t>
  </si>
  <si>
    <t>Port Harcourt GRA</t>
  </si>
  <si>
    <t>Garki</t>
  </si>
  <si>
    <t>Sabon Gari</t>
  </si>
  <si>
    <t>Rumuola</t>
  </si>
  <si>
    <t>Bompai</t>
  </si>
  <si>
    <t>Ikeja</t>
  </si>
  <si>
    <t>Lekki</t>
  </si>
  <si>
    <t>Victoria Island</t>
  </si>
  <si>
    <t>Maitama</t>
  </si>
  <si>
    <t>Musa Garba</t>
  </si>
  <si>
    <t>Qudus Suleiman</t>
  </si>
  <si>
    <t>Kingsley Obi</t>
  </si>
  <si>
    <t>Uche Ikenna</t>
  </si>
  <si>
    <t>Josephine Eze</t>
  </si>
  <si>
    <t>Segun Bankole</t>
  </si>
  <si>
    <t>Vivian Osei</t>
  </si>
  <si>
    <t>Gbenga Adesanya</t>
  </si>
  <si>
    <t>Ibrahim Bello</t>
  </si>
  <si>
    <t>Emeka Nwosu</t>
  </si>
  <si>
    <t>Ngozi Chukwu</t>
  </si>
  <si>
    <t>Tunde Fashola</t>
  </si>
  <si>
    <t>Obinna Nwachukwu</t>
  </si>
  <si>
    <t>Adaora Okafor</t>
  </si>
  <si>
    <t>Funmi Adeyemi</t>
  </si>
  <si>
    <t>Rita Okonkwo</t>
  </si>
  <si>
    <t>Halima Musa</t>
  </si>
  <si>
    <t>Lara Adeleke</t>
  </si>
  <si>
    <t>Patience Uche</t>
  </si>
  <si>
    <t>Wale Akinwale</t>
  </si>
  <si>
    <t>Row Labels</t>
  </si>
  <si>
    <t>Grand Total</t>
  </si>
  <si>
    <t>Sum of loan_amount</t>
  </si>
  <si>
    <t>Count of loan_id</t>
  </si>
  <si>
    <t>Column Labels</t>
  </si>
  <si>
    <t>Loan_amount</t>
  </si>
  <si>
    <t>11 rows were negative</t>
  </si>
  <si>
    <t>Found 15 exact duplicate rows.</t>
  </si>
  <si>
    <t>Text is written in a mix of upper and lower case letters.</t>
  </si>
  <si>
    <t>repayment_id, loan_id, payment_status</t>
  </si>
  <si>
    <t>rm_id, rm_name, branch_id</t>
  </si>
  <si>
    <t>Used the "Remove Duplicates" under Data Tab to delete the duplicate rows.</t>
  </si>
  <si>
    <t>Values are displayed as plain decimals</t>
  </si>
  <si>
    <t>Formatted the entire column as a Percentage</t>
  </si>
  <si>
    <t>Interest_rate</t>
  </si>
  <si>
    <t>Removed the negative signs using absolute function to reflect positive value and pasted as value</t>
  </si>
  <si>
    <t>Loan_type</t>
  </si>
  <si>
    <t>Used the DATEVALUE function to convert to valid date values and changed the data format to short date and pasted as value</t>
  </si>
  <si>
    <t>Text variables were formatted as "General"</t>
  </si>
  <si>
    <t>loan_id,customer_id, branch_id, rm_id, loan_type, loan_status</t>
  </si>
  <si>
    <t xml:space="preserve">Highlighted the columns and changed the data format to "Text" </t>
  </si>
  <si>
    <t>Highlighted the columns and changed the data format to "Text"</t>
  </si>
  <si>
    <t>Customer_id, full_name, gender, branch_id, rm_id, customer_segment</t>
  </si>
  <si>
    <t>Branch_id, branch_name, city, region</t>
  </si>
  <si>
    <t>XLOOKUP(C2,[branches.xlsx]branches!$A$2:$A$11,[branches.xlsx]branches!$B$2:$B$11,"Not Found")</t>
  </si>
  <si>
    <t>XLOOKUP(D2,[staff.xlsx]staff!$A$2:$A$21,[staff.xlsx]staff!$E$2:$E$21,"Not found")</t>
  </si>
  <si>
    <t>XLOOKUP(D2,[staff.xlsx]staff!$A$2:$A$21,[staff.xlsx]staff!$B$2:$B$21,"Not found")</t>
  </si>
  <si>
    <t>Perfomance flag</t>
  </si>
  <si>
    <t>IF(AND(J2= "Defaulted", F2&gt;2000000), "HIGH RISK", IF(J2= "Defaulted", "AT RISK", "NORMAL"))</t>
  </si>
  <si>
    <t>branch_name (From branches)</t>
  </si>
  <si>
    <t>rm_name (From Staff)</t>
  </si>
  <si>
    <t>target_amount (staff)</t>
  </si>
  <si>
    <t>Field</t>
  </si>
  <si>
    <t>Formula_Type</t>
  </si>
  <si>
    <t>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</si>
</sst>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469]\ #,##0"/>
  </numFmts>
  <fonts count="9" x14ac:knownFonts="1">
    <font>
      <sz val="11"/>
      <color theme="1"/>
      <name val="Calibri"/>
      <family val="2"/>
      <scheme val="minor"/>
    </font>
    <font>
      <b/>
      <sz val="11"/>
      <color rgb="FFFFFFFF"/>
      <name val="Arial"/>
    </font>
    <font>
      <sz val="10"/>
      <name val="Arial"/>
    </font>
    <font>
      <sz val="10"/>
      <color theme="1"/>
      <name val="Gill Sans MT"/>
      <family val="2"/>
    </font>
    <font>
      <sz val="10"/>
      <color theme="1"/>
      <name val="Calibri"/>
      <family val="2"/>
      <scheme val="minor"/>
    </font>
    <font>
      <sz val="11"/>
      <color theme="1"/>
      <name val="Calibri"/>
      <family val="2"/>
      <scheme val="minor"/>
    </font>
    <font>
      <b/>
      <sz val="11"/>
      <color rgb="FFFFFFFF"/>
      <name val="Arial"/>
      <family val="2"/>
    </font>
    <font>
      <b/>
      <sz val="11"/>
      <color theme="0"/>
      <name val="Calibri"/>
      <family val="2"/>
      <scheme val="minor"/>
    </font>
    <font>
      <sz val="12"/>
      <color theme="1"/>
      <name val="Calibri"/>
      <family val="2"/>
      <scheme val="minor"/>
    </font>
  </fonts>
  <fills count="7">
    <fill>
      <patternFill patternType="none"/>
    </fill>
    <fill>
      <patternFill patternType="gray125"/>
    </fill>
    <fill>
      <patternFill patternType="solid">
        <fgColor rgb="FF1F4E79"/>
      </patternFill>
    </fill>
    <fill>
      <patternFill patternType="solid">
        <fgColor rgb="FFFFFFFF"/>
      </patternFill>
    </fill>
    <fill>
      <patternFill patternType="solid">
        <fgColor rgb="FFF2F2F2"/>
      </patternFill>
    </fill>
    <fill>
      <patternFill patternType="solid">
        <fgColor theme="7" tint="0.59999389629810485"/>
        <bgColor indexed="64"/>
      </patternFill>
    </fill>
    <fill>
      <patternFill patternType="solid">
        <fgColor theme="3"/>
        <bgColor indexed="64"/>
      </patternFill>
    </fill>
  </fills>
  <borders count="5">
    <border>
      <left/>
      <right/>
      <top/>
      <bottom/>
      <diagonal/>
    </border>
    <border>
      <left style="thin">
        <color rgb="FFCCCCCC"/>
      </left>
      <right style="thin">
        <color rgb="FFCCCCCC"/>
      </right>
      <top style="thin">
        <color rgb="FFCCCCCC"/>
      </top>
      <bottom style="thin">
        <color rgb="FFCCCCCC"/>
      </bottom>
      <diagonal/>
    </border>
    <border>
      <left style="thin">
        <color rgb="FFDDDDDD"/>
      </left>
      <right style="thin">
        <color rgb="FFDDDDDD"/>
      </right>
      <top style="thin">
        <color rgb="FFDDDDDD"/>
      </top>
      <bottom style="thin">
        <color rgb="FFDDDDDD"/>
      </bottom>
      <diagonal/>
    </border>
    <border>
      <left style="thin">
        <color indexed="64"/>
      </left>
      <right style="thin">
        <color indexed="64"/>
      </right>
      <top style="thin">
        <color indexed="64"/>
      </top>
      <bottom style="thin">
        <color indexed="64"/>
      </bottom>
      <diagonal/>
    </border>
    <border>
      <left style="thin">
        <color rgb="FFCCCCCC"/>
      </left>
      <right style="thin">
        <color rgb="FFCCCCCC"/>
      </right>
      <top/>
      <bottom/>
      <diagonal/>
    </border>
  </borders>
  <cellStyleXfs count="2">
    <xf numFmtId="0" fontId="0" fillId="0" borderId="0"/>
    <xf numFmtId="9" fontId="5" fillId="0" borderId="0" applyFont="0" applyFill="0" applyBorder="0" applyAlignment="0" applyProtection="0"/>
  </cellStyleXfs>
  <cellXfs count="31">
    <xf numFmtId="0" fontId="0" fillId="0" borderId="0" xfId="0"/>
    <xf numFmtId="0" fontId="3" fillId="5" borderId="3" xfId="0" applyFont="1" applyFill="1" applyBorder="1"/>
    <xf numFmtId="0" fontId="4" fillId="0" borderId="0" xfId="0" applyFont="1"/>
    <xf numFmtId="14" fontId="2" fillId="3" borderId="2" xfId="0" applyNumberFormat="1" applyFont="1" applyFill="1" applyBorder="1" applyAlignment="1">
      <alignment vertical="center"/>
    </xf>
    <xf numFmtId="14" fontId="2" fillId="4" borderId="2" xfId="0" applyNumberFormat="1" applyFont="1" applyFill="1" applyBorder="1" applyAlignment="1">
      <alignment vertical="center"/>
    </xf>
    <xf numFmtId="165" fontId="2" fillId="3" borderId="2" xfId="0" applyNumberFormat="1" applyFont="1" applyFill="1" applyBorder="1" applyAlignment="1">
      <alignment vertical="center"/>
    </xf>
    <xf numFmtId="165" fontId="2" fillId="4" borderId="2" xfId="0" applyNumberFormat="1" applyFont="1" applyFill="1" applyBorder="1" applyAlignment="1">
      <alignment vertical="center"/>
    </xf>
    <xf numFmtId="165" fontId="0" fillId="0" borderId="0" xfId="0" applyNumberFormat="1"/>
    <xf numFmtId="49" fontId="1" fillId="2" borderId="1" xfId="0" applyNumberFormat="1" applyFont="1" applyFill="1" applyBorder="1" applyAlignment="1">
      <alignment horizontal="center" vertical="center" wrapText="1"/>
    </xf>
    <xf numFmtId="49" fontId="1" fillId="2" borderId="4" xfId="0" applyNumberFormat="1" applyFont="1" applyFill="1" applyBorder="1" applyAlignment="1">
      <alignment horizontal="center" vertical="center" wrapText="1"/>
    </xf>
    <xf numFmtId="49" fontId="6" fillId="2" borderId="4" xfId="0" applyNumberFormat="1" applyFont="1" applyFill="1" applyBorder="1" applyAlignment="1">
      <alignment horizontal="center" vertical="center" wrapText="1"/>
    </xf>
    <xf numFmtId="49" fontId="2" fillId="3" borderId="2" xfId="0" applyNumberFormat="1" applyFont="1" applyFill="1" applyBorder="1" applyAlignment="1">
      <alignment vertical="center"/>
    </xf>
    <xf numFmtId="49" fontId="0" fillId="0" borderId="0" xfId="0" applyNumberFormat="1"/>
    <xf numFmtId="49" fontId="2" fillId="4" borderId="2" xfId="0" applyNumberFormat="1" applyFont="1" applyFill="1" applyBorder="1" applyAlignment="1">
      <alignment vertical="center"/>
    </xf>
    <xf numFmtId="1" fontId="2" fillId="3" borderId="2" xfId="0" applyNumberFormat="1" applyFont="1" applyFill="1" applyBorder="1" applyAlignment="1">
      <alignment vertical="center"/>
    </xf>
    <xf numFmtId="1" fontId="2" fillId="4" borderId="2" xfId="0" applyNumberFormat="1" applyFont="1" applyFill="1" applyBorder="1" applyAlignment="1">
      <alignment vertical="center"/>
    </xf>
    <xf numFmtId="164" fontId="1" fillId="2" borderId="1" xfId="0" applyNumberFormat="1" applyFont="1" applyFill="1" applyBorder="1" applyAlignment="1">
      <alignment horizontal="center" vertical="center" wrapText="1"/>
    </xf>
    <xf numFmtId="9" fontId="1" fillId="2" borderId="1" xfId="0" applyNumberFormat="1" applyFont="1" applyFill="1" applyBorder="1" applyAlignment="1">
      <alignment horizontal="center" vertical="center" wrapText="1"/>
    </xf>
    <xf numFmtId="9" fontId="2" fillId="3" borderId="2" xfId="1" applyFont="1" applyFill="1" applyBorder="1" applyAlignment="1">
      <alignment vertical="center"/>
    </xf>
    <xf numFmtId="9" fontId="2" fillId="4" borderId="2" xfId="1" applyFont="1" applyFill="1" applyBorder="1" applyAlignment="1">
      <alignment vertical="center"/>
    </xf>
    <xf numFmtId="9" fontId="0" fillId="0" borderId="0" xfId="0" applyNumberFormat="1"/>
    <xf numFmtId="1" fontId="1" fillId="2" borderId="1" xfId="0" applyNumberFormat="1" applyFont="1" applyFill="1" applyBorder="1" applyAlignment="1">
      <alignment horizontal="center" vertical="center" wrapText="1"/>
    </xf>
    <xf numFmtId="1" fontId="0" fillId="0" borderId="0" xfId="0" applyNumberFormat="1"/>
    <xf numFmtId="14" fontId="1" fillId="2" borderId="1" xfId="0" applyNumberFormat="1" applyFont="1" applyFill="1" applyBorder="1" applyAlignment="1">
      <alignment horizontal="center" vertical="center" wrapText="1"/>
    </xf>
    <xf numFmtId="14" fontId="0" fillId="0" borderId="0" xfId="0" applyNumberFormat="1"/>
    <xf numFmtId="165" fontId="1" fillId="2" borderId="4" xfId="0" applyNumberFormat="1" applyFont="1" applyFill="1" applyBorder="1" applyAlignment="1">
      <alignment horizontal="center" vertical="center" wrapText="1"/>
    </xf>
    <xf numFmtId="0" fontId="7" fillId="6" borderId="0" xfId="0" applyFont="1" applyFill="1"/>
    <xf numFmtId="0" fontId="8" fillId="0" borderId="0" xfId="0" pivotButton="1" applyFont="1"/>
    <xf numFmtId="0" fontId="8" fillId="0" borderId="0" xfId="0" applyFont="1"/>
    <xf numFmtId="0" fontId="8" fillId="0" borderId="0" xfId="0" applyFont="1" applyAlignment="1">
      <alignment horizontal="left"/>
    </xf>
    <xf numFmtId="165" fontId="8" fillId="0" borderId="0" xfId="0" applyNumberFormat="1" applyFont="1"/>
  </cellXfs>
  <cellStyles count="2">
    <cellStyle name="Normal" xfId="0" builtinId="0"/>
    <cellStyle name="Percent" xfId="1" builtinId="5"/>
  </cellStyles>
  <dxfs count="16">
    <dxf>
      <font>
        <color theme="0"/>
      </font>
      <fill>
        <patternFill>
          <bgColor rgb="FFC00000"/>
        </patternFill>
      </fill>
    </dxf>
    <dxf>
      <font>
        <color theme="0"/>
      </font>
      <fill>
        <patternFill>
          <bgColor theme="9"/>
        </patternFill>
      </fill>
    </dxf>
    <dxf>
      <font>
        <color theme="0"/>
      </font>
      <fill>
        <patternFill>
          <bgColor theme="6"/>
        </patternFill>
      </fill>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externalLink" Target="externalLinks/externalLink1.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0</xdr:col>
      <xdr:colOff>704707</xdr:colOff>
      <xdr:row>26</xdr:row>
      <xdr:rowOff>45834</xdr:rowOff>
    </xdr:from>
    <xdr:to>
      <xdr:col>2</xdr:col>
      <xdr:colOff>1575564</xdr:colOff>
      <xdr:row>31</xdr:row>
      <xdr:rowOff>154691</xdr:rowOff>
    </xdr:to>
    <xdr:sp macro="" textlink="">
      <xdr:nvSpPr>
        <xdr:cNvPr id="2" name="TextBox 1">
          <a:extLst>
            <a:ext uri="{FF2B5EF4-FFF2-40B4-BE49-F238E27FC236}">
              <a16:creationId xmlns:a16="http://schemas.microsoft.com/office/drawing/2014/main" id="{57FAC51D-9320-C310-898C-D870B26AF93F}"/>
            </a:ext>
          </a:extLst>
        </xdr:cNvPr>
        <xdr:cNvSpPr txBox="1"/>
      </xdr:nvSpPr>
      <xdr:spPr>
        <a:xfrm>
          <a:off x="704707" y="4818360"/>
          <a:ext cx="5689218" cy="10255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sz="1100" b="1"/>
            <a:t>The most significant data quality issue discovered was the presence of hidden spaces</a:t>
          </a:r>
          <a:r>
            <a:rPr lang="en-US" sz="1100" b="1" baseline="0"/>
            <a:t> in</a:t>
          </a:r>
          <a:r>
            <a:rPr lang="en-US" sz="1100" b="1"/>
            <a:t> the branch IDs in the loans dataset. Because this ID is the only link between the loans and the branch information, these invisible spaces would have caused all data lookups and merges to fail. </a:t>
          </a:r>
          <a:r>
            <a:rPr lang="en-US" sz="1100" b="1" i="0">
              <a:solidFill>
                <a:schemeClr val="dk1"/>
              </a:solidFill>
              <a:effectLst/>
              <a:latin typeface="+mn-lt"/>
              <a:ea typeface="+mn-ea"/>
              <a:cs typeface="+mn-cs"/>
            </a:rPr>
            <a:t>Without fixing it, the analysis would have missed lots of loans entirely, throwing off the branch performance and default rates</a:t>
          </a:r>
          <a:r>
            <a:rPr lang="en-US" sz="1100" b="1" i="0" baseline="0">
              <a:solidFill>
                <a:schemeClr val="dk1"/>
              </a:solidFill>
              <a:effectLst/>
              <a:latin typeface="+mn-lt"/>
              <a:ea typeface="+mn-ea"/>
              <a:cs typeface="+mn-cs"/>
            </a:rPr>
            <a:t> and it would ruin the final dashboard</a:t>
          </a:r>
          <a:endParaRPr lang="en-US" sz="1100" b="1"/>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omolo\OneDrive\Documents\Omolola_ogunrinde_Capstone\Omolola_ogunrinde_Phase1_branches.xlsx" TargetMode="External"/><Relationship Id="rId1" Type="http://schemas.openxmlformats.org/officeDocument/2006/relationships/externalLinkPath" Target="Omolola_ogunrinde_Phase1_branch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ranches"/>
    </sheetNames>
    <sheetDataSet>
      <sheetData sheetId="0">
        <row r="2">
          <cell r="A2" t="str">
            <v>BR001</v>
          </cell>
          <cell r="D2" t="str">
            <v>South-West</v>
          </cell>
        </row>
        <row r="3">
          <cell r="A3" t="str">
            <v>BR002</v>
          </cell>
          <cell r="D3" t="str">
            <v>South-West</v>
          </cell>
        </row>
        <row r="4">
          <cell r="A4" t="str">
            <v>BR003</v>
          </cell>
          <cell r="D4" t="str">
            <v>South-West</v>
          </cell>
        </row>
        <row r="5">
          <cell r="A5" t="str">
            <v>BR004</v>
          </cell>
          <cell r="D5" t="str">
            <v>North</v>
          </cell>
        </row>
        <row r="6">
          <cell r="A6" t="str">
            <v>BR005</v>
          </cell>
          <cell r="D6" t="str">
            <v>North</v>
          </cell>
        </row>
        <row r="7">
          <cell r="A7" t="str">
            <v>BR006</v>
          </cell>
          <cell r="D7" t="str">
            <v>North</v>
          </cell>
        </row>
        <row r="8">
          <cell r="A8" t="str">
            <v>BR007</v>
          </cell>
          <cell r="D8" t="str">
            <v>South-South</v>
          </cell>
        </row>
        <row r="9">
          <cell r="A9" t="str">
            <v>BR008</v>
          </cell>
          <cell r="D9" t="str">
            <v>South-South</v>
          </cell>
        </row>
        <row r="10">
          <cell r="A10" t="str">
            <v>BR009</v>
          </cell>
          <cell r="D10" t="str">
            <v>North</v>
          </cell>
        </row>
        <row r="11">
          <cell r="A11" t="str">
            <v>BR010</v>
          </cell>
          <cell r="D11" t="str">
            <v>North</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olola Ogunrinde" refreshedDate="46120.365177314816" createdVersion="8" refreshedVersion="8" minRefreshableVersion="3" recordCount="500" xr:uid="{918499D5-9AF9-40FA-9C4B-57D79DACDCCB}">
  <cacheSource type="worksheet">
    <worksheetSource ref="A1:N501" sheet="loans"/>
  </cacheSource>
  <cacheFields count="14">
    <cacheField name="loan_id" numFmtId="0">
      <sharedItems/>
    </cacheField>
    <cacheField name="customer_id" numFmtId="0">
      <sharedItems/>
    </cacheField>
    <cacheField name="branch_id" numFmtId="0">
      <sharedItems/>
    </cacheField>
    <cacheField name="rm_id" numFmtId="0">
      <sharedItems/>
    </cacheField>
    <cacheField name="loan_type" numFmtId="0">
      <sharedItems count="3">
        <s v="Business"/>
        <s v="Sme"/>
        <s v="Personal"/>
      </sharedItems>
    </cacheField>
    <cacheField name="loan_amount" numFmtId="165">
      <sharedItems containsSemiMixedTypes="0" containsString="0" containsNumber="1" containsInteger="1" minValue="-5000000" maxValue="10000000"/>
    </cacheField>
    <cacheField name="interest_rate" numFmtId="9">
      <sharedItems containsSemiMixedTypes="0" containsString="0" containsNumber="1" minValue="0.16" maxValue="0.24"/>
    </cacheField>
    <cacheField name="tenure_months" numFmtId="0">
      <sharedItems containsSemiMixedTypes="0" containsString="0" containsNumber="1" containsInteger="1" minValue="6" maxValue="36"/>
    </cacheField>
    <cacheField name="disbursement_date" numFmtId="14">
      <sharedItems containsSemiMixedTypes="0" containsNonDate="0" containsDate="1" containsString="0" minDate="2024-01-01T00:00:00" maxDate="2025-01-01T00:00:00"/>
    </cacheField>
    <cacheField name="loan_status" numFmtId="0">
      <sharedItems count="3">
        <s v="Fully Paid"/>
        <s v="Defaulted"/>
        <s v="Active"/>
      </sharedItems>
    </cacheField>
    <cacheField name="branch_name" numFmtId="0">
      <sharedItems count="10">
        <s v="Wuse II"/>
        <s v="Port Harcourt GRA"/>
        <s v="Garki"/>
        <s v="Sabon Gari"/>
        <s v="Rumuola"/>
        <s v="Bompai"/>
        <s v="Ikeja"/>
        <s v="Lekki"/>
        <s v="Victoria Island"/>
        <s v="Maitama"/>
      </sharedItems>
    </cacheField>
    <cacheField name="rm_name" numFmtId="0">
      <sharedItems/>
    </cacheField>
    <cacheField name="target_amount" numFmtId="165">
      <sharedItems containsSemiMixedTypes="0" containsString="0" containsNumber="1" containsInteger="1" minValue="30000000" maxValue="75000000"/>
    </cacheField>
    <cacheField name="performance_flag"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LN00369"/>
    <s v="CUS0116"/>
    <s v="BR005"/>
    <s v="RM010"/>
    <x v="0"/>
    <n v="1500000"/>
    <n v="0.24"/>
    <n v="6"/>
    <d v="2024-10-22T00:00:00"/>
    <x v="0"/>
    <x v="0"/>
    <s v="Musa Garba"/>
    <n v="75000000"/>
    <s v="NORMAL"/>
  </r>
  <r>
    <s v="LN00134"/>
    <s v="CUS0102"/>
    <s v="BR007"/>
    <s v="RM014"/>
    <x v="1"/>
    <n v="500000"/>
    <n v="0.22"/>
    <n v="36"/>
    <d v="2024-08-16T00:00:00"/>
    <x v="1"/>
    <x v="1"/>
    <s v="Qudus Suleiman"/>
    <n v="75000000"/>
    <s v="AT RISK"/>
  </r>
  <r>
    <s v="LN00086"/>
    <s v="CUS0051"/>
    <s v="BR004"/>
    <s v="RM008"/>
    <x v="1"/>
    <n v="1500000"/>
    <n v="0.22"/>
    <n v="6"/>
    <d v="2024-04-29T00:00:00"/>
    <x v="0"/>
    <x v="2"/>
    <s v="Kingsley Obi"/>
    <n v="30000000"/>
    <s v="NORMAL"/>
  </r>
  <r>
    <s v="LN00494"/>
    <s v="CUS0054"/>
    <s v="BR009"/>
    <s v="RM018"/>
    <x v="2"/>
    <n v="3000000"/>
    <n v="0.22"/>
    <n v="6"/>
    <d v="2024-05-20T00:00:00"/>
    <x v="0"/>
    <x v="3"/>
    <s v="Uche Ikenna"/>
    <n v="50000000"/>
    <s v="NORMAL"/>
  </r>
  <r>
    <s v="LN00010"/>
    <s v="CUS0098"/>
    <s v="BR004"/>
    <s v="RM007"/>
    <x v="0"/>
    <n v="3000000"/>
    <n v="0.2"/>
    <n v="36"/>
    <d v="2024-09-11T00:00:00"/>
    <x v="0"/>
    <x v="2"/>
    <s v="Josephine Eze"/>
    <n v="30000000"/>
    <s v="NORMAL"/>
  </r>
  <r>
    <s v="LN00282"/>
    <s v="CUS0169"/>
    <s v="BR004"/>
    <s v="RM007"/>
    <x v="1"/>
    <n v="1500000"/>
    <n v="0.22"/>
    <n v="36"/>
    <d v="2024-03-19T00:00:00"/>
    <x v="2"/>
    <x v="2"/>
    <s v="Josephine Eze"/>
    <n v="30000000"/>
    <s v="NORMAL"/>
  </r>
  <r>
    <s v="LN00328"/>
    <s v="CUS0145"/>
    <s v="BR008"/>
    <s v="RM016"/>
    <x v="1"/>
    <n v="1000000"/>
    <n v="0.18"/>
    <n v="6"/>
    <d v="2024-08-02T00:00:00"/>
    <x v="0"/>
    <x v="4"/>
    <s v="Segun Bankole"/>
    <n v="40000000"/>
    <s v="NORMAL"/>
  </r>
  <r>
    <s v="LN00276"/>
    <s v="CUS0102"/>
    <s v="BR007"/>
    <s v="RM014"/>
    <x v="2"/>
    <n v="500000"/>
    <n v="0.22"/>
    <n v="36"/>
    <d v="2024-03-20T00:00:00"/>
    <x v="2"/>
    <x v="1"/>
    <s v="Qudus Suleiman"/>
    <n v="75000000"/>
    <s v="NORMAL"/>
  </r>
  <r>
    <s v="LN00036"/>
    <s v="CUS0213"/>
    <s v="BR010"/>
    <s v="RM019"/>
    <x v="1"/>
    <n v="5000000"/>
    <n v="0.18"/>
    <n v="18"/>
    <d v="2024-05-03T00:00:00"/>
    <x v="2"/>
    <x v="5"/>
    <s v="Vivian Osei"/>
    <n v="40000000"/>
    <s v="NORMAL"/>
  </r>
  <r>
    <s v="LN00072"/>
    <s v="CUS0166"/>
    <s v="BR002"/>
    <s v="RM004"/>
    <x v="2"/>
    <n v="7500000"/>
    <n v="0.18"/>
    <n v="24"/>
    <d v="2024-11-22T00:00:00"/>
    <x v="0"/>
    <x v="6"/>
    <s v="Gbenga Adesanya"/>
    <n v="30000000"/>
    <s v="NORMAL"/>
  </r>
  <r>
    <s v="LN00001"/>
    <s v="CUS0053"/>
    <s v="BR003"/>
    <s v="RM006"/>
    <x v="2"/>
    <n v="500000"/>
    <n v="0.16"/>
    <n v="12"/>
    <d v="2024-01-23T00:00:00"/>
    <x v="2"/>
    <x v="7"/>
    <s v="Ibrahim Bello"/>
    <n v="75000000"/>
    <s v="NORMAL"/>
  </r>
  <r>
    <s v="LN00208"/>
    <s v="CUS0092"/>
    <s v="BR008"/>
    <s v="RM016"/>
    <x v="0"/>
    <n v="10000000"/>
    <n v="0.24"/>
    <n v="6"/>
    <d v="2024-05-23T00:00:00"/>
    <x v="2"/>
    <x v="4"/>
    <s v="Segun Bankole"/>
    <n v="40000000"/>
    <s v="NORMAL"/>
  </r>
  <r>
    <s v="LN00354"/>
    <s v="CUS0250"/>
    <s v="BR001"/>
    <s v="RM002"/>
    <x v="0"/>
    <n v="1000000"/>
    <n v="0.22"/>
    <n v="6"/>
    <d v="2024-08-21T00:00:00"/>
    <x v="0"/>
    <x v="8"/>
    <s v="Emeka Nwosu"/>
    <n v="50000000"/>
    <s v="NORMAL"/>
  </r>
  <r>
    <s v="LN00370"/>
    <s v="CUS0069"/>
    <s v="BR006"/>
    <s v="RM011"/>
    <x v="0"/>
    <n v="3000000"/>
    <n v="0.16"/>
    <n v="36"/>
    <d v="2024-09-04T00:00:00"/>
    <x v="2"/>
    <x v="9"/>
    <s v="Ngozi Chukwu"/>
    <n v="75000000"/>
    <s v="NORMAL"/>
  </r>
  <r>
    <s v="LN00090"/>
    <s v="CUS0061"/>
    <s v="BR003"/>
    <s v="RM006"/>
    <x v="0"/>
    <n v="3000000"/>
    <n v="0.22"/>
    <n v="18"/>
    <d v="2024-06-11T00:00:00"/>
    <x v="2"/>
    <x v="7"/>
    <s v="Ibrahim Bello"/>
    <n v="75000000"/>
    <s v="NORMAL"/>
  </r>
  <r>
    <s v="LN00018"/>
    <s v="CUS0159"/>
    <s v="BR009"/>
    <s v="RM017"/>
    <x v="1"/>
    <n v="3000000"/>
    <n v="0.22"/>
    <n v="6"/>
    <d v="2024-07-10T00:00:00"/>
    <x v="0"/>
    <x v="3"/>
    <s v="Tunde Fashola"/>
    <n v="60000000"/>
    <s v="NORMAL"/>
  </r>
  <r>
    <s v="LN00409"/>
    <s v="CUS0230"/>
    <s v="BR006"/>
    <s v="RM012"/>
    <x v="2"/>
    <n v="7500000"/>
    <n v="0.2"/>
    <n v="24"/>
    <d v="2024-04-11T00:00:00"/>
    <x v="1"/>
    <x v="9"/>
    <s v="Obinna Nwachukwu"/>
    <n v="75000000"/>
    <s v="HIGH RISK"/>
  </r>
  <r>
    <s v="LN00491"/>
    <s v="CUS0226"/>
    <s v="BR006"/>
    <s v="RM012"/>
    <x v="2"/>
    <n v="7500000"/>
    <n v="0.2"/>
    <n v="6"/>
    <d v="2024-11-26T00:00:00"/>
    <x v="0"/>
    <x v="9"/>
    <s v="Obinna Nwachukwu"/>
    <n v="75000000"/>
    <s v="NORMAL"/>
  </r>
  <r>
    <s v="LN00392"/>
    <s v="CUS0018"/>
    <s v="BR001"/>
    <s v="RM001"/>
    <x v="1"/>
    <n v="500000"/>
    <n v="0.22"/>
    <n v="6"/>
    <d v="2024-10-17T00:00:00"/>
    <x v="1"/>
    <x v="8"/>
    <s v="Adaora Okafor"/>
    <n v="30000000"/>
    <s v="AT RISK"/>
  </r>
  <r>
    <s v="LN00034"/>
    <s v="CUS0075"/>
    <s v="BR008"/>
    <s v="RM016"/>
    <x v="1"/>
    <n v="7500000"/>
    <n v="0.18"/>
    <n v="18"/>
    <d v="2024-07-11T00:00:00"/>
    <x v="0"/>
    <x v="4"/>
    <s v="Segun Bankole"/>
    <n v="40000000"/>
    <s v="NORMAL"/>
  </r>
  <r>
    <s v="LN00380"/>
    <s v="CUS0137"/>
    <s v="BR002"/>
    <s v="RM004"/>
    <x v="2"/>
    <n v="5000000"/>
    <n v="0.18"/>
    <n v="36"/>
    <d v="2024-08-10T00:00:00"/>
    <x v="1"/>
    <x v="6"/>
    <s v="Gbenga Adesanya"/>
    <n v="30000000"/>
    <s v="HIGH RISK"/>
  </r>
  <r>
    <s v="LN00278"/>
    <s v="CUS0033"/>
    <s v="BR010"/>
    <s v="RM019"/>
    <x v="0"/>
    <n v="3000000"/>
    <n v="0.2"/>
    <n v="24"/>
    <d v="2024-04-08T00:00:00"/>
    <x v="2"/>
    <x v="5"/>
    <s v="Vivian Osei"/>
    <n v="40000000"/>
    <s v="NORMAL"/>
  </r>
  <r>
    <s v="LN00394"/>
    <s v="CUS0142"/>
    <s v="BR006"/>
    <s v="RM012"/>
    <x v="2"/>
    <n v="1500000"/>
    <n v="0.22"/>
    <n v="6"/>
    <d v="2024-11-18T00:00:00"/>
    <x v="0"/>
    <x v="9"/>
    <s v="Obinna Nwachukwu"/>
    <n v="75000000"/>
    <s v="NORMAL"/>
  </r>
  <r>
    <s v="LN00275"/>
    <s v="CUS0051"/>
    <s v="BR004"/>
    <s v="RM008"/>
    <x v="0"/>
    <n v="1500000"/>
    <n v="0.18"/>
    <n v="24"/>
    <d v="2024-06-15T00:00:00"/>
    <x v="0"/>
    <x v="2"/>
    <s v="Kingsley Obi"/>
    <n v="30000000"/>
    <s v="NORMAL"/>
  </r>
  <r>
    <s v="LN00026"/>
    <s v="CUS0092"/>
    <s v="BR008"/>
    <s v="RM016"/>
    <x v="1"/>
    <n v="5000000"/>
    <n v="0.24"/>
    <n v="24"/>
    <d v="2024-02-13T00:00:00"/>
    <x v="2"/>
    <x v="4"/>
    <s v="Segun Bankole"/>
    <n v="40000000"/>
    <s v="NORMAL"/>
  </r>
  <r>
    <s v="LN00147"/>
    <s v="CUS0014"/>
    <s v="BR004"/>
    <s v="RM007"/>
    <x v="2"/>
    <n v="1500000"/>
    <n v="0.24"/>
    <n v="24"/>
    <d v="2024-03-14T00:00:00"/>
    <x v="0"/>
    <x v="2"/>
    <s v="Josephine Eze"/>
    <n v="30000000"/>
    <s v="NORMAL"/>
  </r>
  <r>
    <s v="LN00297"/>
    <s v="CUS0155"/>
    <s v="BR008"/>
    <s v="RM016"/>
    <x v="2"/>
    <n v="5000000"/>
    <n v="0.24"/>
    <n v="6"/>
    <d v="2024-06-12T00:00:00"/>
    <x v="2"/>
    <x v="4"/>
    <s v="Segun Bankole"/>
    <n v="40000000"/>
    <s v="NORMAL"/>
  </r>
  <r>
    <s v="LN00061"/>
    <s v="CUS0188"/>
    <s v="BR006"/>
    <s v="RM012"/>
    <x v="2"/>
    <n v="7500000"/>
    <n v="0.2"/>
    <n v="6"/>
    <d v="2024-09-30T00:00:00"/>
    <x v="1"/>
    <x v="9"/>
    <s v="Obinna Nwachukwu"/>
    <n v="75000000"/>
    <s v="HIGH RISK"/>
  </r>
  <r>
    <s v="LN00099"/>
    <s v="CUS0106"/>
    <s v="BR002"/>
    <s v="RM004"/>
    <x v="1"/>
    <n v="500000"/>
    <n v="0.22"/>
    <n v="12"/>
    <d v="2024-08-02T00:00:00"/>
    <x v="1"/>
    <x v="6"/>
    <s v="Gbenga Adesanya"/>
    <n v="30000000"/>
    <s v="AT RISK"/>
  </r>
  <r>
    <s v="LN00070"/>
    <s v="CUS0187"/>
    <s v="BR002"/>
    <s v="RM003"/>
    <x v="0"/>
    <n v="5000000"/>
    <n v="0.18"/>
    <n v="12"/>
    <d v="2024-05-21T00:00:00"/>
    <x v="2"/>
    <x v="6"/>
    <s v="Funmi Adeyemi"/>
    <n v="40000000"/>
    <s v="NORMAL"/>
  </r>
  <r>
    <s v="LN00266"/>
    <s v="CUS0204"/>
    <s v="BR008"/>
    <s v="RM016"/>
    <x v="2"/>
    <n v="3000000"/>
    <n v="0.24"/>
    <n v="24"/>
    <d v="2024-07-21T00:00:00"/>
    <x v="0"/>
    <x v="4"/>
    <s v="Segun Bankole"/>
    <n v="40000000"/>
    <s v="NORMAL"/>
  </r>
  <r>
    <s v="LN00397"/>
    <s v="CUS0031"/>
    <s v="BR001"/>
    <s v="RM002"/>
    <x v="2"/>
    <n v="10000000"/>
    <n v="0.24"/>
    <n v="12"/>
    <d v="2024-10-23T00:00:00"/>
    <x v="2"/>
    <x v="8"/>
    <s v="Emeka Nwosu"/>
    <n v="50000000"/>
    <s v="NORMAL"/>
  </r>
  <r>
    <s v="LN00313"/>
    <s v="CUS0233"/>
    <s v="BR009"/>
    <s v="RM018"/>
    <x v="1"/>
    <n v="7500000"/>
    <n v="0.18"/>
    <n v="12"/>
    <d v="2024-10-24T00:00:00"/>
    <x v="0"/>
    <x v="3"/>
    <s v="Uche Ikenna"/>
    <n v="50000000"/>
    <s v="NORMAL"/>
  </r>
  <r>
    <s v="LN00450"/>
    <s v="CUS0125"/>
    <s v="BR006"/>
    <s v="RM011"/>
    <x v="0"/>
    <n v="1000000"/>
    <n v="0.18"/>
    <n v="36"/>
    <d v="2024-04-23T00:00:00"/>
    <x v="0"/>
    <x v="9"/>
    <s v="Ngozi Chukwu"/>
    <n v="75000000"/>
    <s v="NORMAL"/>
  </r>
  <r>
    <s v="LN00016"/>
    <s v="CUS0016"/>
    <s v="BR004"/>
    <s v="RM008"/>
    <x v="1"/>
    <n v="7500000"/>
    <n v="0.16"/>
    <n v="6"/>
    <d v="2024-09-29T00:00:00"/>
    <x v="2"/>
    <x v="2"/>
    <s v="Kingsley Obi"/>
    <n v="30000000"/>
    <s v="NORMAL"/>
  </r>
  <r>
    <s v="LN00361"/>
    <s v="CUS0245"/>
    <s v="BR010"/>
    <s v="RM019"/>
    <x v="0"/>
    <n v="750000"/>
    <n v="0.24"/>
    <n v="24"/>
    <d v="2024-06-16T00:00:00"/>
    <x v="0"/>
    <x v="5"/>
    <s v="Vivian Osei"/>
    <n v="40000000"/>
    <s v="NORMAL"/>
  </r>
  <r>
    <s v="LN00053"/>
    <s v="CUS0118"/>
    <s v="BR008"/>
    <s v="RM016"/>
    <x v="1"/>
    <n v="7500000"/>
    <n v="0.16"/>
    <n v="36"/>
    <d v="2024-02-28T00:00:00"/>
    <x v="0"/>
    <x v="4"/>
    <s v="Segun Bankole"/>
    <n v="40000000"/>
    <s v="NORMAL"/>
  </r>
  <r>
    <s v="LN00448"/>
    <s v="CUS0050"/>
    <s v="BR009"/>
    <s v="RM018"/>
    <x v="1"/>
    <n v="750000"/>
    <n v="0.18"/>
    <n v="36"/>
    <d v="2024-06-14T00:00:00"/>
    <x v="0"/>
    <x v="3"/>
    <s v="Uche Ikenna"/>
    <n v="50000000"/>
    <s v="NORMAL"/>
  </r>
  <r>
    <s v="LN00438"/>
    <s v="CUS0131"/>
    <s v="BR009"/>
    <s v="RM017"/>
    <x v="2"/>
    <n v="3000000"/>
    <n v="0.22"/>
    <n v="18"/>
    <d v="2024-07-16T00:00:00"/>
    <x v="2"/>
    <x v="3"/>
    <s v="Tunde Fashola"/>
    <n v="60000000"/>
    <s v="NORMAL"/>
  </r>
  <r>
    <s v="LN00032"/>
    <s v="CUS0158"/>
    <s v="BR002"/>
    <s v="RM004"/>
    <x v="2"/>
    <n v="750000"/>
    <n v="0.16"/>
    <n v="24"/>
    <d v="2024-06-19T00:00:00"/>
    <x v="2"/>
    <x v="6"/>
    <s v="Gbenga Adesanya"/>
    <n v="30000000"/>
    <s v="NORMAL"/>
  </r>
  <r>
    <s v="LN00248"/>
    <s v="CUS0004"/>
    <s v="BR003"/>
    <s v="RM006"/>
    <x v="1"/>
    <n v="5000000"/>
    <n v="0.2"/>
    <n v="18"/>
    <d v="2024-11-09T00:00:00"/>
    <x v="2"/>
    <x v="7"/>
    <s v="Ibrahim Bello"/>
    <n v="75000000"/>
    <s v="NORMAL"/>
  </r>
  <r>
    <s v="LN00475"/>
    <s v="CUS0087"/>
    <s v="BR008"/>
    <s v="RM015"/>
    <x v="2"/>
    <n v="10000000"/>
    <n v="0.22"/>
    <n v="24"/>
    <d v="2024-10-17T00:00:00"/>
    <x v="2"/>
    <x v="4"/>
    <s v="Rita Okonkwo"/>
    <n v="30000000"/>
    <s v="NORMAL"/>
  </r>
  <r>
    <s v="LN00237"/>
    <s v="CUS0133"/>
    <s v="BR006"/>
    <s v="RM011"/>
    <x v="2"/>
    <n v="750000"/>
    <n v="0.24"/>
    <n v="18"/>
    <d v="2024-10-13T00:00:00"/>
    <x v="2"/>
    <x v="9"/>
    <s v="Ngozi Chukwu"/>
    <n v="75000000"/>
    <s v="NORMAL"/>
  </r>
  <r>
    <s v="LN00277"/>
    <s v="CUS0024"/>
    <s v="BR008"/>
    <s v="RM015"/>
    <x v="1"/>
    <n v="3000000"/>
    <n v="0.16"/>
    <n v="6"/>
    <d v="2024-07-01T00:00:00"/>
    <x v="0"/>
    <x v="4"/>
    <s v="Rita Okonkwo"/>
    <n v="30000000"/>
    <s v="NORMAL"/>
  </r>
  <r>
    <s v="LN00399"/>
    <s v="CUS0013"/>
    <s v="BR009"/>
    <s v="RM017"/>
    <x v="0"/>
    <n v="7500000"/>
    <n v="0.24"/>
    <n v="6"/>
    <d v="2024-02-24T00:00:00"/>
    <x v="0"/>
    <x v="3"/>
    <s v="Tunde Fashola"/>
    <n v="60000000"/>
    <s v="NORMAL"/>
  </r>
  <r>
    <s v="LN00341"/>
    <s v="CUS0237"/>
    <s v="BR006"/>
    <s v="RM012"/>
    <x v="1"/>
    <n v="7500000"/>
    <n v="0.18"/>
    <n v="24"/>
    <d v="2024-03-20T00:00:00"/>
    <x v="1"/>
    <x v="9"/>
    <s v="Obinna Nwachukwu"/>
    <n v="75000000"/>
    <s v="HIGH RISK"/>
  </r>
  <r>
    <s v="LN00126"/>
    <s v="CUS0224"/>
    <s v="BR006"/>
    <s v="RM012"/>
    <x v="2"/>
    <n v="10000000"/>
    <n v="0.16"/>
    <n v="24"/>
    <d v="2024-03-17T00:00:00"/>
    <x v="0"/>
    <x v="9"/>
    <s v="Obinna Nwachukwu"/>
    <n v="75000000"/>
    <s v="NORMAL"/>
  </r>
  <r>
    <s v="LN00133"/>
    <s v="CUS0214"/>
    <s v="BR003"/>
    <s v="RM005"/>
    <x v="2"/>
    <n v="1500000"/>
    <n v="0.16"/>
    <n v="18"/>
    <d v="2024-12-26T00:00:00"/>
    <x v="2"/>
    <x v="7"/>
    <s v="Halima Musa"/>
    <n v="75000000"/>
    <s v="NORMAL"/>
  </r>
  <r>
    <s v="LN00059"/>
    <s v="CUS0213"/>
    <s v="BR010"/>
    <s v="RM019"/>
    <x v="2"/>
    <n v="5000000"/>
    <n v="0.24"/>
    <n v="18"/>
    <d v="2024-11-17T00:00:00"/>
    <x v="0"/>
    <x v="5"/>
    <s v="Vivian Osei"/>
    <n v="40000000"/>
    <s v="NORMAL"/>
  </r>
  <r>
    <s v="LN00113"/>
    <s v="CUS0108"/>
    <s v="BR002"/>
    <s v="RM004"/>
    <x v="2"/>
    <n v="7500000"/>
    <n v="0.2"/>
    <n v="36"/>
    <d v="2024-07-11T00:00:00"/>
    <x v="0"/>
    <x v="6"/>
    <s v="Gbenga Adesanya"/>
    <n v="30000000"/>
    <s v="NORMAL"/>
  </r>
  <r>
    <s v="LN00375"/>
    <s v="CUS0169"/>
    <s v="BR004"/>
    <s v="RM007"/>
    <x v="0"/>
    <n v="500000"/>
    <n v="0.16"/>
    <n v="12"/>
    <d v="2024-09-15T00:00:00"/>
    <x v="0"/>
    <x v="2"/>
    <s v="Josephine Eze"/>
    <n v="30000000"/>
    <s v="NORMAL"/>
  </r>
  <r>
    <s v="LN00152"/>
    <s v="CUS0243"/>
    <s v="BR002"/>
    <s v="RM004"/>
    <x v="0"/>
    <n v="10000000"/>
    <n v="0.2"/>
    <n v="24"/>
    <d v="2024-12-17T00:00:00"/>
    <x v="2"/>
    <x v="6"/>
    <s v="Gbenga Adesanya"/>
    <n v="30000000"/>
    <s v="NORMAL"/>
  </r>
  <r>
    <s v="LN00444"/>
    <s v="CUS0032"/>
    <s v="BR006"/>
    <s v="RM011"/>
    <x v="1"/>
    <n v="2000000"/>
    <n v="0.22"/>
    <n v="12"/>
    <d v="2024-01-15T00:00:00"/>
    <x v="2"/>
    <x v="9"/>
    <s v="Ngozi Chukwu"/>
    <n v="75000000"/>
    <s v="NORMAL"/>
  </r>
  <r>
    <s v="LN00295"/>
    <s v="CUS0186"/>
    <s v="BR005"/>
    <s v="RM009"/>
    <x v="0"/>
    <n v="1000000"/>
    <n v="0.24"/>
    <n v="6"/>
    <d v="2024-10-31T00:00:00"/>
    <x v="2"/>
    <x v="0"/>
    <s v="Lara Adeleke"/>
    <n v="40000000"/>
    <s v="NORMAL"/>
  </r>
  <r>
    <s v="LN00108"/>
    <s v="CUS0041"/>
    <s v="BR007"/>
    <s v="RM013"/>
    <x v="1"/>
    <n v="7500000"/>
    <n v="0.18"/>
    <n v="36"/>
    <d v="2024-12-21T00:00:00"/>
    <x v="0"/>
    <x v="1"/>
    <s v="Patience Uche"/>
    <n v="40000000"/>
    <s v="NORMAL"/>
  </r>
  <r>
    <s v="LN00449"/>
    <s v="CUS0078"/>
    <s v="BR004"/>
    <s v="RM007"/>
    <x v="0"/>
    <n v="3000000"/>
    <n v="0.24"/>
    <n v="18"/>
    <d v="2024-03-14T00:00:00"/>
    <x v="0"/>
    <x v="2"/>
    <s v="Josephine Eze"/>
    <n v="30000000"/>
    <s v="NORMAL"/>
  </r>
  <r>
    <s v="LN00051"/>
    <s v="CUS0125"/>
    <s v="BR006"/>
    <s v="RM011"/>
    <x v="2"/>
    <n v="5000000"/>
    <n v="0.24"/>
    <n v="24"/>
    <d v="2024-07-28T00:00:00"/>
    <x v="2"/>
    <x v="9"/>
    <s v="Ngozi Chukwu"/>
    <n v="75000000"/>
    <s v="NORMAL"/>
  </r>
  <r>
    <s v="LN00436"/>
    <s v="CUS0103"/>
    <s v="BR001"/>
    <s v="RM002"/>
    <x v="1"/>
    <n v="7500000"/>
    <n v="0.2"/>
    <n v="6"/>
    <d v="2024-11-07T00:00:00"/>
    <x v="0"/>
    <x v="8"/>
    <s v="Emeka Nwosu"/>
    <n v="50000000"/>
    <s v="NORMAL"/>
  </r>
  <r>
    <s v="LN00269"/>
    <s v="CUS0070"/>
    <s v="BR008"/>
    <s v="RM015"/>
    <x v="1"/>
    <n v="7500000"/>
    <n v="0.16"/>
    <n v="12"/>
    <d v="2024-01-26T00:00:00"/>
    <x v="2"/>
    <x v="4"/>
    <s v="Rita Okonkwo"/>
    <n v="30000000"/>
    <s v="NORMAL"/>
  </r>
  <r>
    <s v="LN00323"/>
    <s v="CUS0075"/>
    <s v="BR008"/>
    <s v="RM016"/>
    <x v="0"/>
    <n v="2000000"/>
    <n v="0.2"/>
    <n v="24"/>
    <d v="2024-03-26T00:00:00"/>
    <x v="0"/>
    <x v="4"/>
    <s v="Segun Bankole"/>
    <n v="40000000"/>
    <s v="NORMAL"/>
  </r>
  <r>
    <s v="LN00466"/>
    <s v="CUS0128"/>
    <s v="BR006"/>
    <s v="RM011"/>
    <x v="2"/>
    <n v="-1000000"/>
    <n v="0.16"/>
    <n v="6"/>
    <d v="2024-09-12T00:00:00"/>
    <x v="1"/>
    <x v="9"/>
    <s v="Ngozi Chukwu"/>
    <n v="75000000"/>
    <s v="AT RISK"/>
  </r>
  <r>
    <s v="LN00260"/>
    <s v="CUS0198"/>
    <s v="BR010"/>
    <s v="RM019"/>
    <x v="0"/>
    <n v="750000"/>
    <n v="0.24"/>
    <n v="12"/>
    <d v="2024-02-13T00:00:00"/>
    <x v="1"/>
    <x v="5"/>
    <s v="Vivian Osei"/>
    <n v="40000000"/>
    <s v="AT RISK"/>
  </r>
  <r>
    <s v="LN00395"/>
    <s v="CUS0113"/>
    <s v="BR008"/>
    <s v="RM015"/>
    <x v="1"/>
    <n v="1000000"/>
    <n v="0.16"/>
    <n v="36"/>
    <d v="2024-05-02T00:00:00"/>
    <x v="2"/>
    <x v="4"/>
    <s v="Rita Okonkwo"/>
    <n v="30000000"/>
    <s v="NORMAL"/>
  </r>
  <r>
    <s v="LN00329"/>
    <s v="CUS0074"/>
    <s v="BR009"/>
    <s v="RM017"/>
    <x v="1"/>
    <n v="750000"/>
    <n v="0.18"/>
    <n v="6"/>
    <d v="2024-11-14T00:00:00"/>
    <x v="2"/>
    <x v="3"/>
    <s v="Tunde Fashola"/>
    <n v="60000000"/>
    <s v="NORMAL"/>
  </r>
  <r>
    <s v="LN00304"/>
    <s v="CUS0029"/>
    <s v="BR010"/>
    <s v="RM019"/>
    <x v="1"/>
    <n v="1500000"/>
    <n v="0.18"/>
    <n v="18"/>
    <d v="2024-01-08T00:00:00"/>
    <x v="0"/>
    <x v="5"/>
    <s v="Vivian Osei"/>
    <n v="40000000"/>
    <s v="NORMAL"/>
  </r>
  <r>
    <s v="LN00493"/>
    <s v="CUS0032"/>
    <s v="BR006"/>
    <s v="RM011"/>
    <x v="1"/>
    <n v="7500000"/>
    <n v="0.22"/>
    <n v="18"/>
    <d v="2024-06-03T00:00:00"/>
    <x v="0"/>
    <x v="9"/>
    <s v="Ngozi Chukwu"/>
    <n v="75000000"/>
    <s v="NORMAL"/>
  </r>
  <r>
    <s v="LN00017"/>
    <s v="CUS0071"/>
    <s v="BR008"/>
    <s v="RM016"/>
    <x v="1"/>
    <n v="500000"/>
    <n v="0.22"/>
    <n v="12"/>
    <d v="2024-02-24T00:00:00"/>
    <x v="0"/>
    <x v="4"/>
    <s v="Segun Bankole"/>
    <n v="40000000"/>
    <s v="NORMAL"/>
  </r>
  <r>
    <s v="LN00368"/>
    <s v="CUS0036"/>
    <s v="BR006"/>
    <s v="RM011"/>
    <x v="1"/>
    <n v="7500000"/>
    <n v="0.24"/>
    <n v="24"/>
    <d v="2024-11-15T00:00:00"/>
    <x v="0"/>
    <x v="9"/>
    <s v="Ngozi Chukwu"/>
    <n v="75000000"/>
    <s v="NORMAL"/>
  </r>
  <r>
    <s v="LN00321"/>
    <s v="CUS0185"/>
    <s v="BR007"/>
    <s v="RM014"/>
    <x v="0"/>
    <n v="10000000"/>
    <n v="0.16"/>
    <n v="36"/>
    <d v="2024-02-25T00:00:00"/>
    <x v="0"/>
    <x v="1"/>
    <s v="Qudus Suleiman"/>
    <n v="75000000"/>
    <s v="NORMAL"/>
  </r>
  <r>
    <s v="LN00157"/>
    <s v="CUS0231"/>
    <s v="BR003"/>
    <s v="RM006"/>
    <x v="2"/>
    <n v="750000"/>
    <n v="0.16"/>
    <n v="24"/>
    <d v="2024-04-11T00:00:00"/>
    <x v="0"/>
    <x v="7"/>
    <s v="Ibrahim Bello"/>
    <n v="75000000"/>
    <s v="NORMAL"/>
  </r>
  <r>
    <s v="LN00385"/>
    <s v="CUS0214"/>
    <s v="BR003"/>
    <s v="RM005"/>
    <x v="2"/>
    <n v="750000"/>
    <n v="0.16"/>
    <n v="6"/>
    <d v="2024-11-05T00:00:00"/>
    <x v="0"/>
    <x v="7"/>
    <s v="Halima Musa"/>
    <n v="75000000"/>
    <s v="NORMAL"/>
  </r>
  <r>
    <s v="LN00100"/>
    <s v="CUS0162"/>
    <s v="BR009"/>
    <s v="RM018"/>
    <x v="1"/>
    <n v="5000000"/>
    <n v="0.2"/>
    <n v="24"/>
    <d v="2024-10-05T00:00:00"/>
    <x v="2"/>
    <x v="3"/>
    <s v="Uche Ikenna"/>
    <n v="50000000"/>
    <s v="NORMAL"/>
  </r>
  <r>
    <s v="LN00057"/>
    <s v="CUS0153"/>
    <s v="BR002"/>
    <s v="RM003"/>
    <x v="1"/>
    <n v="3000000"/>
    <n v="0.2"/>
    <n v="18"/>
    <d v="2024-10-20T00:00:00"/>
    <x v="1"/>
    <x v="6"/>
    <s v="Funmi Adeyemi"/>
    <n v="40000000"/>
    <s v="HIGH RISK"/>
  </r>
  <r>
    <s v="LN00082"/>
    <s v="CUS0094"/>
    <s v="BR005"/>
    <s v="RM010"/>
    <x v="0"/>
    <n v="1000000"/>
    <n v="0.16"/>
    <n v="36"/>
    <d v="2024-12-31T00:00:00"/>
    <x v="2"/>
    <x v="0"/>
    <s v="Musa Garba"/>
    <n v="75000000"/>
    <s v="NORMAL"/>
  </r>
  <r>
    <s v="LN00164"/>
    <s v="CUS0041"/>
    <s v="BR007"/>
    <s v="RM013"/>
    <x v="2"/>
    <n v="7500000"/>
    <n v="0.22"/>
    <n v="12"/>
    <d v="2024-11-08T00:00:00"/>
    <x v="2"/>
    <x v="1"/>
    <s v="Patience Uche"/>
    <n v="40000000"/>
    <s v="NORMAL"/>
  </r>
  <r>
    <s v="LN00228"/>
    <s v="CUS0049"/>
    <s v="BR008"/>
    <s v="RM016"/>
    <x v="2"/>
    <n v="500000"/>
    <n v="0.16"/>
    <n v="36"/>
    <d v="2024-01-04T00:00:00"/>
    <x v="2"/>
    <x v="4"/>
    <s v="Segun Bankole"/>
    <n v="40000000"/>
    <s v="NORMAL"/>
  </r>
  <r>
    <s v="LN00432"/>
    <s v="CUS0033"/>
    <s v="BR010"/>
    <s v="RM019"/>
    <x v="0"/>
    <n v="3000000"/>
    <n v="0.24"/>
    <n v="6"/>
    <d v="2024-12-06T00:00:00"/>
    <x v="2"/>
    <x v="5"/>
    <s v="Vivian Osei"/>
    <n v="40000000"/>
    <s v="NORMAL"/>
  </r>
  <r>
    <s v="LN00188"/>
    <s v="CUS0042"/>
    <s v="BR004"/>
    <s v="RM007"/>
    <x v="1"/>
    <n v="500000"/>
    <n v="0.18"/>
    <n v="6"/>
    <d v="2024-03-19T00:00:00"/>
    <x v="0"/>
    <x v="2"/>
    <s v="Josephine Eze"/>
    <n v="30000000"/>
    <s v="NORMAL"/>
  </r>
  <r>
    <s v="LN00268"/>
    <s v="CUS0191"/>
    <s v="BR010"/>
    <s v="RM019"/>
    <x v="1"/>
    <n v="5000000"/>
    <n v="0.16"/>
    <n v="12"/>
    <d v="2024-03-10T00:00:00"/>
    <x v="0"/>
    <x v="5"/>
    <s v="Vivian Osei"/>
    <n v="40000000"/>
    <s v="NORMAL"/>
  </r>
  <r>
    <s v="LN00255"/>
    <s v="CUS0200"/>
    <s v="BR003"/>
    <s v="RM005"/>
    <x v="0"/>
    <n v="3000000"/>
    <n v="0.22"/>
    <n v="24"/>
    <d v="2024-02-10T00:00:00"/>
    <x v="2"/>
    <x v="7"/>
    <s v="Halima Musa"/>
    <n v="75000000"/>
    <s v="NORMAL"/>
  </r>
  <r>
    <s v="LN00359"/>
    <s v="CUS0209"/>
    <s v="BR008"/>
    <s v="RM016"/>
    <x v="1"/>
    <n v="5000000"/>
    <n v="0.22"/>
    <n v="36"/>
    <d v="2024-06-24T00:00:00"/>
    <x v="2"/>
    <x v="4"/>
    <s v="Segun Bankole"/>
    <n v="40000000"/>
    <s v="NORMAL"/>
  </r>
  <r>
    <s v="LN00045"/>
    <s v="CUS0152"/>
    <s v="BR007"/>
    <s v="RM014"/>
    <x v="0"/>
    <n v="500000"/>
    <n v="0.18"/>
    <n v="18"/>
    <d v="2024-12-26T00:00:00"/>
    <x v="2"/>
    <x v="1"/>
    <s v="Qudus Suleiman"/>
    <n v="75000000"/>
    <s v="NORMAL"/>
  </r>
  <r>
    <s v="LN00089"/>
    <s v="CUS0022"/>
    <s v="BR003"/>
    <s v="RM006"/>
    <x v="1"/>
    <n v="10000000"/>
    <n v="0.22"/>
    <n v="6"/>
    <d v="2024-10-30T00:00:00"/>
    <x v="2"/>
    <x v="7"/>
    <s v="Ibrahim Bello"/>
    <n v="75000000"/>
    <s v="NORMAL"/>
  </r>
  <r>
    <s v="LN00433"/>
    <s v="CUS0139"/>
    <s v="BR005"/>
    <s v="RM010"/>
    <x v="2"/>
    <n v="2000000"/>
    <n v="0.16"/>
    <n v="24"/>
    <d v="2024-09-12T00:00:00"/>
    <x v="1"/>
    <x v="0"/>
    <s v="Musa Garba"/>
    <n v="75000000"/>
    <s v="AT RISK"/>
  </r>
  <r>
    <s v="LN00198"/>
    <s v="CUS0005"/>
    <s v="BR009"/>
    <s v="RM017"/>
    <x v="0"/>
    <n v="750000"/>
    <n v="0.24"/>
    <n v="6"/>
    <d v="2024-10-26T00:00:00"/>
    <x v="0"/>
    <x v="3"/>
    <s v="Tunde Fashola"/>
    <n v="60000000"/>
    <s v="NORMAL"/>
  </r>
  <r>
    <s v="LN00324"/>
    <s v="CUS0133"/>
    <s v="BR006"/>
    <s v="RM011"/>
    <x v="2"/>
    <n v="7500000"/>
    <n v="0.24"/>
    <n v="6"/>
    <d v="2024-04-02T00:00:00"/>
    <x v="1"/>
    <x v="9"/>
    <s v="Ngozi Chukwu"/>
    <n v="75000000"/>
    <s v="HIGH RISK"/>
  </r>
  <r>
    <s v="LN00402"/>
    <s v="CUS0043"/>
    <s v="BR006"/>
    <s v="RM012"/>
    <x v="0"/>
    <n v="500000"/>
    <n v="0.24"/>
    <n v="24"/>
    <d v="2024-03-21T00:00:00"/>
    <x v="0"/>
    <x v="9"/>
    <s v="Obinna Nwachukwu"/>
    <n v="75000000"/>
    <s v="NORMAL"/>
  </r>
  <r>
    <s v="LN00083"/>
    <s v="CUS0107"/>
    <s v="BR010"/>
    <s v="RM019"/>
    <x v="1"/>
    <n v="2000000"/>
    <n v="0.24"/>
    <n v="18"/>
    <d v="2024-03-02T00:00:00"/>
    <x v="1"/>
    <x v="5"/>
    <s v="Vivian Osei"/>
    <n v="40000000"/>
    <s v="AT RISK"/>
  </r>
  <r>
    <s v="LN00342"/>
    <s v="CUS0086"/>
    <s v="BR001"/>
    <s v="RM002"/>
    <x v="0"/>
    <n v="500000"/>
    <n v="0.2"/>
    <n v="36"/>
    <d v="2024-12-13T00:00:00"/>
    <x v="0"/>
    <x v="8"/>
    <s v="Emeka Nwosu"/>
    <n v="50000000"/>
    <s v="NORMAL"/>
  </r>
  <r>
    <s v="LN00009"/>
    <s v="CUS0247"/>
    <s v="BR008"/>
    <s v="RM016"/>
    <x v="1"/>
    <n v="7500000"/>
    <n v="0.24"/>
    <n v="12"/>
    <d v="2024-07-22T00:00:00"/>
    <x v="0"/>
    <x v="4"/>
    <s v="Segun Bankole"/>
    <n v="40000000"/>
    <s v="NORMAL"/>
  </r>
  <r>
    <s v="LN00336"/>
    <s v="CUS0023"/>
    <s v="BR002"/>
    <s v="RM003"/>
    <x v="0"/>
    <n v="2000000"/>
    <n v="0.2"/>
    <n v="18"/>
    <d v="2024-09-26T00:00:00"/>
    <x v="0"/>
    <x v="6"/>
    <s v="Funmi Adeyemi"/>
    <n v="40000000"/>
    <s v="NORMAL"/>
  </r>
  <r>
    <s v="LN00041"/>
    <s v="CUS0007"/>
    <s v="BR006"/>
    <s v="RM011"/>
    <x v="0"/>
    <n v="2000000"/>
    <n v="0.16"/>
    <n v="6"/>
    <d v="2024-03-13T00:00:00"/>
    <x v="2"/>
    <x v="9"/>
    <s v="Ngozi Chukwu"/>
    <n v="75000000"/>
    <s v="NORMAL"/>
  </r>
  <r>
    <s v="LN00074"/>
    <s v="CUS0198"/>
    <s v="BR010"/>
    <s v="RM019"/>
    <x v="2"/>
    <n v="-750000"/>
    <n v="0.18"/>
    <n v="6"/>
    <d v="2024-01-31T00:00:00"/>
    <x v="2"/>
    <x v="5"/>
    <s v="Vivian Osei"/>
    <n v="40000000"/>
    <s v="NORMAL"/>
  </r>
  <r>
    <s v="LN00213"/>
    <s v="CUS0248"/>
    <s v="BR007"/>
    <s v="RM013"/>
    <x v="2"/>
    <n v="7500000"/>
    <n v="0.16"/>
    <n v="12"/>
    <d v="2024-09-06T00:00:00"/>
    <x v="2"/>
    <x v="1"/>
    <s v="Patience Uche"/>
    <n v="40000000"/>
    <s v="NORMAL"/>
  </r>
  <r>
    <s v="LN00478"/>
    <s v="CUS0163"/>
    <s v="BR006"/>
    <s v="RM012"/>
    <x v="2"/>
    <n v="1500000"/>
    <n v="0.16"/>
    <n v="18"/>
    <d v="2024-10-20T00:00:00"/>
    <x v="2"/>
    <x v="9"/>
    <s v="Obinna Nwachukwu"/>
    <n v="75000000"/>
    <s v="NORMAL"/>
  </r>
  <r>
    <s v="LN00193"/>
    <s v="CUS0235"/>
    <s v="BR004"/>
    <s v="RM007"/>
    <x v="2"/>
    <n v="2000000"/>
    <n v="0.2"/>
    <n v="6"/>
    <d v="2024-09-21T00:00:00"/>
    <x v="2"/>
    <x v="2"/>
    <s v="Josephine Eze"/>
    <n v="30000000"/>
    <s v="NORMAL"/>
  </r>
  <r>
    <s v="LN00008"/>
    <s v="CUS0019"/>
    <s v="BR004"/>
    <s v="RM007"/>
    <x v="2"/>
    <n v="10000000"/>
    <n v="0.18"/>
    <n v="18"/>
    <d v="2024-06-04T00:00:00"/>
    <x v="2"/>
    <x v="2"/>
    <s v="Josephine Eze"/>
    <n v="30000000"/>
    <s v="NORMAL"/>
  </r>
  <r>
    <s v="LN00374"/>
    <s v="CUS0043"/>
    <s v="BR006"/>
    <s v="RM012"/>
    <x v="2"/>
    <n v="2000000"/>
    <n v="0.24"/>
    <n v="18"/>
    <d v="2024-02-01T00:00:00"/>
    <x v="0"/>
    <x v="9"/>
    <s v="Obinna Nwachukwu"/>
    <n v="75000000"/>
    <s v="NORMAL"/>
  </r>
  <r>
    <s v="LN00139"/>
    <s v="CUS0160"/>
    <s v="BR001"/>
    <s v="RM001"/>
    <x v="0"/>
    <n v="-750000"/>
    <n v="0.2"/>
    <n v="36"/>
    <d v="2024-11-27T00:00:00"/>
    <x v="2"/>
    <x v="8"/>
    <s v="Adaora Okafor"/>
    <n v="30000000"/>
    <s v="NORMAL"/>
  </r>
  <r>
    <s v="LN00462"/>
    <s v="CUS0220"/>
    <s v="BR006"/>
    <s v="RM012"/>
    <x v="2"/>
    <n v="3000000"/>
    <n v="0.22"/>
    <n v="6"/>
    <d v="2024-07-21T00:00:00"/>
    <x v="0"/>
    <x v="9"/>
    <s v="Obinna Nwachukwu"/>
    <n v="75000000"/>
    <s v="NORMAL"/>
  </r>
  <r>
    <s v="LN00472"/>
    <s v="CUS0249"/>
    <s v="BR007"/>
    <s v="RM014"/>
    <x v="0"/>
    <n v="3000000"/>
    <n v="0.2"/>
    <n v="18"/>
    <d v="2024-02-01T00:00:00"/>
    <x v="2"/>
    <x v="1"/>
    <s v="Qudus Suleiman"/>
    <n v="75000000"/>
    <s v="NORMAL"/>
  </r>
  <r>
    <s v="LN00348"/>
    <s v="CUS0134"/>
    <s v="BR005"/>
    <s v="RM010"/>
    <x v="2"/>
    <n v="2000000"/>
    <n v="0.24"/>
    <n v="6"/>
    <d v="2024-06-19T00:00:00"/>
    <x v="2"/>
    <x v="0"/>
    <s v="Musa Garba"/>
    <n v="75000000"/>
    <s v="NORMAL"/>
  </r>
  <r>
    <s v="LN00165"/>
    <s v="CUS0176"/>
    <s v="BR007"/>
    <s v="RM013"/>
    <x v="1"/>
    <n v="7500000"/>
    <n v="0.16"/>
    <n v="24"/>
    <d v="2024-08-13T00:00:00"/>
    <x v="2"/>
    <x v="1"/>
    <s v="Patience Uche"/>
    <n v="40000000"/>
    <s v="NORMAL"/>
  </r>
  <r>
    <s v="LN00243"/>
    <s v="CUS0229"/>
    <s v="BR003"/>
    <s v="RM005"/>
    <x v="1"/>
    <n v="1000000"/>
    <n v="0.18"/>
    <n v="24"/>
    <d v="2024-04-12T00:00:00"/>
    <x v="2"/>
    <x v="7"/>
    <s v="Halima Musa"/>
    <n v="75000000"/>
    <s v="NORMAL"/>
  </r>
  <r>
    <s v="LN00220"/>
    <s v="CUS0147"/>
    <s v="BR007"/>
    <s v="RM013"/>
    <x v="2"/>
    <n v="1000000"/>
    <n v="0.18"/>
    <n v="36"/>
    <d v="2024-07-26T00:00:00"/>
    <x v="0"/>
    <x v="1"/>
    <s v="Patience Uche"/>
    <n v="40000000"/>
    <s v="NORMAL"/>
  </r>
  <r>
    <s v="LN00225"/>
    <s v="CUS0024"/>
    <s v="BR008"/>
    <s v="RM015"/>
    <x v="0"/>
    <n v="1000000"/>
    <n v="0.24"/>
    <n v="6"/>
    <d v="2024-12-13T00:00:00"/>
    <x v="0"/>
    <x v="4"/>
    <s v="Rita Okonkwo"/>
    <n v="30000000"/>
    <s v="NORMAL"/>
  </r>
  <r>
    <s v="LN00434"/>
    <s v="CUS0040"/>
    <s v="BR003"/>
    <s v="RM006"/>
    <x v="2"/>
    <n v="10000000"/>
    <n v="0.2"/>
    <n v="18"/>
    <d v="2024-08-30T00:00:00"/>
    <x v="1"/>
    <x v="7"/>
    <s v="Ibrahim Bello"/>
    <n v="75000000"/>
    <s v="HIGH RISK"/>
  </r>
  <r>
    <s v="LN00477"/>
    <s v="CUS0053"/>
    <s v="BR003"/>
    <s v="RM006"/>
    <x v="0"/>
    <n v="10000000"/>
    <n v="0.2"/>
    <n v="12"/>
    <d v="2024-11-10T00:00:00"/>
    <x v="1"/>
    <x v="7"/>
    <s v="Ibrahim Bello"/>
    <n v="75000000"/>
    <s v="HIGH RISK"/>
  </r>
  <r>
    <s v="LN00156"/>
    <s v="CUS0176"/>
    <s v="BR007"/>
    <s v="RM013"/>
    <x v="1"/>
    <n v="2000000"/>
    <n v="0.16"/>
    <n v="36"/>
    <d v="2024-05-18T00:00:00"/>
    <x v="0"/>
    <x v="1"/>
    <s v="Patience Uche"/>
    <n v="40000000"/>
    <s v="NORMAL"/>
  </r>
  <r>
    <s v="LN00143"/>
    <s v="CUS0183"/>
    <s v="BR001"/>
    <s v="RM002"/>
    <x v="2"/>
    <n v="10000000"/>
    <n v="0.22"/>
    <n v="18"/>
    <d v="2024-09-16T00:00:00"/>
    <x v="2"/>
    <x v="8"/>
    <s v="Emeka Nwosu"/>
    <n v="50000000"/>
    <s v="NORMAL"/>
  </r>
  <r>
    <s v="LN00071"/>
    <s v="CUS0185"/>
    <s v="BR007"/>
    <s v="RM014"/>
    <x v="1"/>
    <n v="500000"/>
    <n v="0.2"/>
    <n v="12"/>
    <d v="2024-09-22T00:00:00"/>
    <x v="2"/>
    <x v="1"/>
    <s v="Qudus Suleiman"/>
    <n v="75000000"/>
    <s v="NORMAL"/>
  </r>
  <r>
    <s v="LN00376"/>
    <s v="CUS0158"/>
    <s v="BR002"/>
    <s v="RM004"/>
    <x v="0"/>
    <n v="-2000000"/>
    <n v="0.16"/>
    <n v="36"/>
    <d v="2024-03-30T00:00:00"/>
    <x v="0"/>
    <x v="6"/>
    <s v="Gbenga Adesanya"/>
    <n v="30000000"/>
    <s v="NORMAL"/>
  </r>
  <r>
    <s v="LN00267"/>
    <s v="CUS0213"/>
    <s v="BR010"/>
    <s v="RM019"/>
    <x v="0"/>
    <n v="2000000"/>
    <n v="0.18"/>
    <n v="36"/>
    <d v="2024-11-09T00:00:00"/>
    <x v="0"/>
    <x v="5"/>
    <s v="Vivian Osei"/>
    <n v="40000000"/>
    <s v="NORMAL"/>
  </r>
  <r>
    <s v="LN00483"/>
    <s v="CUS0062"/>
    <s v="BR003"/>
    <s v="RM006"/>
    <x v="2"/>
    <n v="2000000"/>
    <n v="0.22"/>
    <n v="18"/>
    <d v="2024-02-02T00:00:00"/>
    <x v="0"/>
    <x v="7"/>
    <s v="Ibrahim Bello"/>
    <n v="75000000"/>
    <s v="NORMAL"/>
  </r>
  <r>
    <s v="LN00095"/>
    <s v="CUS0004"/>
    <s v="BR003"/>
    <s v="RM006"/>
    <x v="2"/>
    <n v="1000000"/>
    <n v="0.22"/>
    <n v="18"/>
    <d v="2024-12-17T00:00:00"/>
    <x v="0"/>
    <x v="7"/>
    <s v="Ibrahim Bello"/>
    <n v="75000000"/>
    <s v="NORMAL"/>
  </r>
  <r>
    <s v="LN00445"/>
    <s v="CUS0018"/>
    <s v="BR001"/>
    <s v="RM001"/>
    <x v="1"/>
    <n v="3000000"/>
    <n v="0.24"/>
    <n v="24"/>
    <d v="2024-05-12T00:00:00"/>
    <x v="0"/>
    <x v="8"/>
    <s v="Adaora Okafor"/>
    <n v="30000000"/>
    <s v="NORMAL"/>
  </r>
  <r>
    <s v="LN00322"/>
    <s v="CUS0063"/>
    <s v="BR007"/>
    <s v="RM014"/>
    <x v="1"/>
    <n v="5000000"/>
    <n v="0.16"/>
    <n v="36"/>
    <d v="2024-07-17T00:00:00"/>
    <x v="0"/>
    <x v="1"/>
    <s v="Qudus Suleiman"/>
    <n v="75000000"/>
    <s v="NORMAL"/>
  </r>
  <r>
    <s v="LN00425"/>
    <s v="CUS0095"/>
    <s v="BR007"/>
    <s v="RM013"/>
    <x v="1"/>
    <n v="750000"/>
    <n v="0.22"/>
    <n v="6"/>
    <d v="2024-02-11T00:00:00"/>
    <x v="2"/>
    <x v="1"/>
    <s v="Patience Uche"/>
    <n v="40000000"/>
    <s v="NORMAL"/>
  </r>
  <r>
    <s v="LN00056"/>
    <s v="CUS0182"/>
    <s v="BR008"/>
    <s v="RM015"/>
    <x v="1"/>
    <n v="5000000"/>
    <n v="0.18"/>
    <n v="12"/>
    <d v="2024-04-15T00:00:00"/>
    <x v="0"/>
    <x v="4"/>
    <s v="Rita Okonkwo"/>
    <n v="30000000"/>
    <s v="NORMAL"/>
  </r>
  <r>
    <s v="LN00428"/>
    <s v="CUS0017"/>
    <s v="BR002"/>
    <s v="RM004"/>
    <x v="2"/>
    <n v="10000000"/>
    <n v="0.22"/>
    <n v="36"/>
    <d v="2024-06-24T00:00:00"/>
    <x v="0"/>
    <x v="6"/>
    <s v="Gbenga Adesanya"/>
    <n v="30000000"/>
    <s v="NORMAL"/>
  </r>
  <r>
    <s v="LN00141"/>
    <s v="CUS0039"/>
    <s v="BR009"/>
    <s v="RM018"/>
    <x v="1"/>
    <n v="500000"/>
    <n v="0.24"/>
    <n v="24"/>
    <d v="2024-12-04T00:00:00"/>
    <x v="2"/>
    <x v="3"/>
    <s v="Uche Ikenna"/>
    <n v="50000000"/>
    <s v="NORMAL"/>
  </r>
  <r>
    <s v="LN00201"/>
    <s v="CUS0204"/>
    <s v="BR008"/>
    <s v="RM016"/>
    <x v="1"/>
    <n v="3000000"/>
    <n v="0.16"/>
    <n v="36"/>
    <d v="2024-10-11T00:00:00"/>
    <x v="2"/>
    <x v="4"/>
    <s v="Segun Bankole"/>
    <n v="40000000"/>
    <s v="NORMAL"/>
  </r>
  <r>
    <s v="LN00333"/>
    <s v="CUS0157"/>
    <s v="BR009"/>
    <s v="RM017"/>
    <x v="1"/>
    <n v="10000000"/>
    <n v="0.22"/>
    <n v="36"/>
    <d v="2024-07-03T00:00:00"/>
    <x v="2"/>
    <x v="3"/>
    <s v="Tunde Fashola"/>
    <n v="60000000"/>
    <s v="NORMAL"/>
  </r>
  <r>
    <s v="LN00180"/>
    <s v="CUS0054"/>
    <s v="BR009"/>
    <s v="RM018"/>
    <x v="1"/>
    <n v="2000000"/>
    <n v="0.18"/>
    <n v="12"/>
    <d v="2024-09-14T00:00:00"/>
    <x v="0"/>
    <x v="3"/>
    <s v="Uche Ikenna"/>
    <n v="50000000"/>
    <s v="NORMAL"/>
  </r>
  <r>
    <s v="LN00317"/>
    <s v="CUS0069"/>
    <s v="BR006"/>
    <s v="RM011"/>
    <x v="1"/>
    <n v="1500000"/>
    <n v="0.18"/>
    <n v="6"/>
    <d v="2024-07-02T00:00:00"/>
    <x v="0"/>
    <x v="9"/>
    <s v="Ngozi Chukwu"/>
    <n v="75000000"/>
    <s v="NORMAL"/>
  </r>
  <r>
    <s v="LN00154"/>
    <s v="CUS0094"/>
    <s v="BR005"/>
    <s v="RM010"/>
    <x v="1"/>
    <n v="500000"/>
    <n v="0.2"/>
    <n v="36"/>
    <d v="2024-11-15T00:00:00"/>
    <x v="1"/>
    <x v="0"/>
    <s v="Musa Garba"/>
    <n v="75000000"/>
    <s v="AT RISK"/>
  </r>
  <r>
    <s v="LN00291"/>
    <s v="CUS0141"/>
    <s v="BR009"/>
    <s v="RM017"/>
    <x v="1"/>
    <n v="3000000"/>
    <n v="0.22"/>
    <n v="24"/>
    <d v="2024-01-01T00:00:00"/>
    <x v="1"/>
    <x v="3"/>
    <s v="Tunde Fashola"/>
    <n v="60000000"/>
    <s v="HIGH RISK"/>
  </r>
  <r>
    <s v="LN00239"/>
    <s v="CUS0019"/>
    <s v="BR004"/>
    <s v="RM007"/>
    <x v="1"/>
    <n v="3000000"/>
    <n v="0.24"/>
    <n v="18"/>
    <d v="2024-10-02T00:00:00"/>
    <x v="0"/>
    <x v="2"/>
    <s v="Josephine Eze"/>
    <n v="30000000"/>
    <s v="NORMAL"/>
  </r>
  <r>
    <s v="LN00052"/>
    <s v="CUS0126"/>
    <s v="BR002"/>
    <s v="RM004"/>
    <x v="2"/>
    <n v="500000"/>
    <n v="0.18"/>
    <n v="18"/>
    <d v="2024-01-17T00:00:00"/>
    <x v="0"/>
    <x v="6"/>
    <s v="Gbenga Adesanya"/>
    <n v="30000000"/>
    <s v="NORMAL"/>
  </r>
  <r>
    <s v="LN00331"/>
    <s v="CUS0063"/>
    <s v="BR007"/>
    <s v="RM014"/>
    <x v="1"/>
    <n v="10000000"/>
    <n v="0.18"/>
    <n v="6"/>
    <d v="2024-04-04T00:00:00"/>
    <x v="0"/>
    <x v="1"/>
    <s v="Qudus Suleiman"/>
    <n v="75000000"/>
    <s v="NORMAL"/>
  </r>
  <r>
    <s v="LN00195"/>
    <s v="CUS0198"/>
    <s v="BR010"/>
    <s v="RM019"/>
    <x v="1"/>
    <n v="500000"/>
    <n v="0.18"/>
    <n v="12"/>
    <d v="2024-12-16T00:00:00"/>
    <x v="2"/>
    <x v="5"/>
    <s v="Vivian Osei"/>
    <n v="40000000"/>
    <s v="NORMAL"/>
  </r>
  <r>
    <s v="LN00349"/>
    <s v="CUS0169"/>
    <s v="BR004"/>
    <s v="RM007"/>
    <x v="1"/>
    <n v="500000"/>
    <n v="0.2"/>
    <n v="12"/>
    <d v="2024-06-13T00:00:00"/>
    <x v="2"/>
    <x v="2"/>
    <s v="Josephine Eze"/>
    <n v="30000000"/>
    <s v="NORMAL"/>
  </r>
  <r>
    <s v="LN00476"/>
    <s v="CUS0121"/>
    <s v="BR006"/>
    <s v="RM011"/>
    <x v="1"/>
    <n v="3000000"/>
    <n v="0.22"/>
    <n v="18"/>
    <d v="2024-10-20T00:00:00"/>
    <x v="0"/>
    <x v="9"/>
    <s v="Ngozi Chukwu"/>
    <n v="75000000"/>
    <s v="NORMAL"/>
  </r>
  <r>
    <s v="LN00114"/>
    <s v="CUS0167"/>
    <s v="BR010"/>
    <s v="RM020"/>
    <x v="1"/>
    <n v="1000000"/>
    <n v="0.16"/>
    <n v="18"/>
    <d v="2024-01-11T00:00:00"/>
    <x v="1"/>
    <x v="5"/>
    <s v="Wale Akinwale"/>
    <n v="50000000"/>
    <s v="AT RISK"/>
  </r>
  <r>
    <s v="LN00338"/>
    <s v="CUS0050"/>
    <s v="BR009"/>
    <s v="RM018"/>
    <x v="2"/>
    <n v="500000"/>
    <n v="0.16"/>
    <n v="12"/>
    <d v="2024-11-11T00:00:00"/>
    <x v="2"/>
    <x v="3"/>
    <s v="Uche Ikenna"/>
    <n v="50000000"/>
    <s v="NORMAL"/>
  </r>
  <r>
    <s v="LN00257"/>
    <s v="CUS0059"/>
    <s v="BR007"/>
    <s v="RM014"/>
    <x v="0"/>
    <n v="2000000"/>
    <n v="0.24"/>
    <n v="24"/>
    <d v="2024-05-18T00:00:00"/>
    <x v="0"/>
    <x v="1"/>
    <s v="Qudus Suleiman"/>
    <n v="75000000"/>
    <s v="NORMAL"/>
  </r>
  <r>
    <s v="LN00178"/>
    <s v="CUS0130"/>
    <s v="BR005"/>
    <s v="RM009"/>
    <x v="0"/>
    <n v="1500000"/>
    <n v="0.2"/>
    <n v="18"/>
    <d v="2024-08-19T00:00:00"/>
    <x v="2"/>
    <x v="0"/>
    <s v="Lara Adeleke"/>
    <n v="40000000"/>
    <s v="NORMAL"/>
  </r>
  <r>
    <s v="LN00468"/>
    <s v="CUS0052"/>
    <s v="BR008"/>
    <s v="RM016"/>
    <x v="0"/>
    <n v="7500000"/>
    <n v="0.2"/>
    <n v="36"/>
    <d v="2024-06-24T00:00:00"/>
    <x v="0"/>
    <x v="4"/>
    <s v="Segun Bankole"/>
    <n v="40000000"/>
    <s v="NORMAL"/>
  </r>
  <r>
    <s v="LN00230"/>
    <s v="CUS0071"/>
    <s v="BR008"/>
    <s v="RM016"/>
    <x v="1"/>
    <n v="1500000"/>
    <n v="0.24"/>
    <n v="24"/>
    <d v="2024-04-01T00:00:00"/>
    <x v="0"/>
    <x v="4"/>
    <s v="Segun Bankole"/>
    <n v="40000000"/>
    <s v="NORMAL"/>
  </r>
  <r>
    <s v="LN00200"/>
    <s v="CUS0137"/>
    <s v="BR002"/>
    <s v="RM004"/>
    <x v="2"/>
    <n v="5000000"/>
    <n v="0.24"/>
    <n v="18"/>
    <d v="2024-11-20T00:00:00"/>
    <x v="0"/>
    <x v="6"/>
    <s v="Gbenga Adesanya"/>
    <n v="30000000"/>
    <s v="NORMAL"/>
  </r>
  <r>
    <s v="LN00211"/>
    <s v="CUS0198"/>
    <s v="BR010"/>
    <s v="RM019"/>
    <x v="1"/>
    <n v="2000000"/>
    <n v="0.24"/>
    <n v="36"/>
    <d v="2024-02-16T00:00:00"/>
    <x v="0"/>
    <x v="5"/>
    <s v="Vivian Osei"/>
    <n v="40000000"/>
    <s v="NORMAL"/>
  </r>
  <r>
    <s v="LN00413"/>
    <s v="CUS0044"/>
    <s v="BR001"/>
    <s v="RM001"/>
    <x v="0"/>
    <n v="2000000"/>
    <n v="0.24"/>
    <n v="12"/>
    <d v="2024-10-22T00:00:00"/>
    <x v="1"/>
    <x v="8"/>
    <s v="Adaora Okafor"/>
    <n v="30000000"/>
    <s v="AT RISK"/>
  </r>
  <r>
    <s v="LN00389"/>
    <s v="CUS0197"/>
    <s v="BR008"/>
    <s v="RM015"/>
    <x v="0"/>
    <n v="750000"/>
    <n v="0.2"/>
    <n v="6"/>
    <d v="2024-01-18T00:00:00"/>
    <x v="0"/>
    <x v="4"/>
    <s v="Rita Okonkwo"/>
    <n v="30000000"/>
    <s v="NORMAL"/>
  </r>
  <r>
    <s v="LN00212"/>
    <s v="CUS0218"/>
    <s v="BR010"/>
    <s v="RM020"/>
    <x v="1"/>
    <n v="1000000"/>
    <n v="0.18"/>
    <n v="24"/>
    <d v="2024-03-22T00:00:00"/>
    <x v="1"/>
    <x v="5"/>
    <s v="Wale Akinwale"/>
    <n v="50000000"/>
    <s v="AT RISK"/>
  </r>
  <r>
    <s v="LN00273"/>
    <s v="CUS0064"/>
    <s v="BR006"/>
    <s v="RM011"/>
    <x v="0"/>
    <n v="1500000"/>
    <n v="0.16"/>
    <n v="12"/>
    <d v="2024-08-23T00:00:00"/>
    <x v="2"/>
    <x v="9"/>
    <s v="Ngozi Chukwu"/>
    <n v="75000000"/>
    <s v="NORMAL"/>
  </r>
  <r>
    <s v="LN00412"/>
    <s v="CUS0092"/>
    <s v="BR008"/>
    <s v="RM016"/>
    <x v="0"/>
    <n v="3000000"/>
    <n v="0.24"/>
    <n v="6"/>
    <d v="2024-05-23T00:00:00"/>
    <x v="1"/>
    <x v="4"/>
    <s v="Segun Bankole"/>
    <n v="40000000"/>
    <s v="HIGH RISK"/>
  </r>
  <r>
    <s v="LN00457"/>
    <s v="CUS0187"/>
    <s v="BR002"/>
    <s v="RM003"/>
    <x v="1"/>
    <n v="10000000"/>
    <n v="0.16"/>
    <n v="36"/>
    <d v="2024-01-08T00:00:00"/>
    <x v="0"/>
    <x v="6"/>
    <s v="Funmi Adeyemi"/>
    <n v="40000000"/>
    <s v="NORMAL"/>
  </r>
  <r>
    <s v="LN00452"/>
    <s v="CUS0005"/>
    <s v="BR009"/>
    <s v="RM017"/>
    <x v="0"/>
    <n v="2000000"/>
    <n v="0.18"/>
    <n v="24"/>
    <d v="2024-11-01T00:00:00"/>
    <x v="1"/>
    <x v="3"/>
    <s v="Tunde Fashola"/>
    <n v="60000000"/>
    <s v="AT RISK"/>
  </r>
  <r>
    <s v="LN00124"/>
    <s v="CUS0043"/>
    <s v="BR006"/>
    <s v="RM012"/>
    <x v="2"/>
    <n v="1000000"/>
    <n v="0.16"/>
    <n v="24"/>
    <d v="2024-04-13T00:00:00"/>
    <x v="0"/>
    <x v="9"/>
    <s v="Obinna Nwachukwu"/>
    <n v="75000000"/>
    <s v="NORMAL"/>
  </r>
  <r>
    <s v="LN00054"/>
    <s v="CUS0139"/>
    <s v="BR005"/>
    <s v="RM010"/>
    <x v="2"/>
    <n v="7500000"/>
    <n v="0.22"/>
    <n v="6"/>
    <d v="2024-11-30T00:00:00"/>
    <x v="2"/>
    <x v="0"/>
    <s v="Musa Garba"/>
    <n v="75000000"/>
    <s v="NORMAL"/>
  </r>
  <r>
    <s v="LN00007"/>
    <s v="CUS0166"/>
    <s v="BR002"/>
    <s v="RM004"/>
    <x v="2"/>
    <n v="3000000"/>
    <n v="0.18"/>
    <n v="6"/>
    <d v="2024-05-17T00:00:00"/>
    <x v="0"/>
    <x v="6"/>
    <s v="Gbenga Adesanya"/>
    <n v="30000000"/>
    <s v="NORMAL"/>
  </r>
  <r>
    <s v="LN00440"/>
    <s v="CUS0109"/>
    <s v="BR006"/>
    <s v="RM012"/>
    <x v="1"/>
    <n v="1000000"/>
    <n v="0.24"/>
    <n v="6"/>
    <d v="2024-03-14T00:00:00"/>
    <x v="0"/>
    <x v="9"/>
    <s v="Obinna Nwachukwu"/>
    <n v="75000000"/>
    <s v="NORMAL"/>
  </r>
  <r>
    <s v="LN00429"/>
    <s v="CUS0171"/>
    <s v="BR009"/>
    <s v="RM017"/>
    <x v="1"/>
    <n v="10000000"/>
    <n v="0.2"/>
    <n v="36"/>
    <d v="2024-03-08T00:00:00"/>
    <x v="2"/>
    <x v="3"/>
    <s v="Tunde Fashola"/>
    <n v="60000000"/>
    <s v="NORMAL"/>
  </r>
  <r>
    <s v="LN00454"/>
    <s v="CUS0177"/>
    <s v="BR002"/>
    <s v="RM003"/>
    <x v="2"/>
    <n v="500000"/>
    <n v="0.22"/>
    <n v="6"/>
    <d v="2024-04-10T00:00:00"/>
    <x v="0"/>
    <x v="6"/>
    <s v="Funmi Adeyemi"/>
    <n v="40000000"/>
    <s v="NORMAL"/>
  </r>
  <r>
    <s v="LN00335"/>
    <s v="CUS0135"/>
    <s v="BR004"/>
    <s v="RM008"/>
    <x v="0"/>
    <n v="1500000"/>
    <n v="0.24"/>
    <n v="6"/>
    <d v="2024-02-25T00:00:00"/>
    <x v="1"/>
    <x v="2"/>
    <s v="Kingsley Obi"/>
    <n v="30000000"/>
    <s v="AT RISK"/>
  </r>
  <r>
    <s v="LN00177"/>
    <s v="CUS0150"/>
    <s v="BR006"/>
    <s v="RM012"/>
    <x v="0"/>
    <n v="1000000"/>
    <n v="0.18"/>
    <n v="12"/>
    <d v="2024-02-23T00:00:00"/>
    <x v="0"/>
    <x v="9"/>
    <s v="Obinna Nwachukwu"/>
    <n v="75000000"/>
    <s v="NORMAL"/>
  </r>
  <r>
    <s v="LN00035"/>
    <s v="CUS0239"/>
    <s v="BR006"/>
    <s v="RM011"/>
    <x v="1"/>
    <n v="10000000"/>
    <n v="0.24"/>
    <n v="6"/>
    <d v="2024-08-24T00:00:00"/>
    <x v="2"/>
    <x v="9"/>
    <s v="Ngozi Chukwu"/>
    <n v="75000000"/>
    <s v="NORMAL"/>
  </r>
  <r>
    <s v="LN00247"/>
    <s v="CUS0009"/>
    <s v="BR009"/>
    <s v="RM018"/>
    <x v="1"/>
    <n v="5000000"/>
    <n v="0.18"/>
    <n v="24"/>
    <d v="2024-03-02T00:00:00"/>
    <x v="0"/>
    <x v="3"/>
    <s v="Uche Ikenna"/>
    <n v="50000000"/>
    <s v="NORMAL"/>
  </r>
  <r>
    <s v="LN00315"/>
    <s v="CUS0143"/>
    <s v="BR002"/>
    <s v="RM003"/>
    <x v="1"/>
    <n v="750000"/>
    <n v="0.18"/>
    <n v="6"/>
    <d v="2024-06-12T00:00:00"/>
    <x v="2"/>
    <x v="6"/>
    <s v="Funmi Adeyemi"/>
    <n v="40000000"/>
    <s v="NORMAL"/>
  </r>
  <r>
    <s v="LN00262"/>
    <s v="CUS0084"/>
    <s v="BR008"/>
    <s v="RM016"/>
    <x v="0"/>
    <n v="10000000"/>
    <n v="0.24"/>
    <n v="24"/>
    <d v="2024-03-10T00:00:00"/>
    <x v="0"/>
    <x v="4"/>
    <s v="Segun Bankole"/>
    <n v="40000000"/>
    <s v="NORMAL"/>
  </r>
  <r>
    <s v="LN00356"/>
    <s v="CUS0202"/>
    <s v="BR010"/>
    <s v="RM019"/>
    <x v="0"/>
    <n v="7500000"/>
    <n v="0.22"/>
    <n v="6"/>
    <d v="2024-06-28T00:00:00"/>
    <x v="0"/>
    <x v="5"/>
    <s v="Vivian Osei"/>
    <n v="40000000"/>
    <s v="NORMAL"/>
  </r>
  <r>
    <s v="LN00489"/>
    <s v="CUS0150"/>
    <s v="BR006"/>
    <s v="RM012"/>
    <x v="1"/>
    <n v="1500000"/>
    <n v="0.18"/>
    <n v="12"/>
    <d v="2024-02-24T00:00:00"/>
    <x v="1"/>
    <x v="9"/>
    <s v="Obinna Nwachukwu"/>
    <n v="75000000"/>
    <s v="AT RISK"/>
  </r>
  <r>
    <s v="LN00158"/>
    <s v="CUS0250"/>
    <s v="BR001"/>
    <s v="RM002"/>
    <x v="2"/>
    <n v="5000000"/>
    <n v="0.16"/>
    <n v="36"/>
    <d v="2024-09-11T00:00:00"/>
    <x v="0"/>
    <x v="8"/>
    <s v="Emeka Nwosu"/>
    <n v="50000000"/>
    <s v="NORMAL"/>
  </r>
  <r>
    <s v="LN00284"/>
    <s v="CUS0147"/>
    <s v="BR007"/>
    <s v="RM013"/>
    <x v="1"/>
    <n v="7500000"/>
    <n v="0.24"/>
    <n v="18"/>
    <d v="2024-01-26T00:00:00"/>
    <x v="0"/>
    <x v="1"/>
    <s v="Patience Uche"/>
    <n v="40000000"/>
    <s v="NORMAL"/>
  </r>
  <r>
    <s v="LN00386"/>
    <s v="CUS0145"/>
    <s v="BR008"/>
    <s v="RM016"/>
    <x v="2"/>
    <n v="1000000"/>
    <n v="0.22"/>
    <n v="6"/>
    <d v="2024-11-23T00:00:00"/>
    <x v="1"/>
    <x v="4"/>
    <s v="Segun Bankole"/>
    <n v="40000000"/>
    <s v="AT RISK"/>
  </r>
  <r>
    <s v="LN00125"/>
    <s v="CUS0067"/>
    <s v="BR010"/>
    <s v="RM019"/>
    <x v="0"/>
    <n v="750000"/>
    <n v="0.24"/>
    <n v="24"/>
    <d v="2024-10-09T00:00:00"/>
    <x v="2"/>
    <x v="5"/>
    <s v="Vivian Osei"/>
    <n v="40000000"/>
    <s v="NORMAL"/>
  </r>
  <r>
    <s v="LN00187"/>
    <s v="CUS0046"/>
    <s v="BR006"/>
    <s v="RM012"/>
    <x v="1"/>
    <n v="1000000"/>
    <n v="0.24"/>
    <n v="6"/>
    <d v="2024-07-12T00:00:00"/>
    <x v="2"/>
    <x v="9"/>
    <s v="Obinna Nwachukwu"/>
    <n v="75000000"/>
    <s v="NORMAL"/>
  </r>
  <r>
    <s v="LN00316"/>
    <s v="CUS0114"/>
    <s v="BR001"/>
    <s v="RM002"/>
    <x v="1"/>
    <n v="2000000"/>
    <n v="0.18"/>
    <n v="6"/>
    <d v="2024-03-08T00:00:00"/>
    <x v="0"/>
    <x v="8"/>
    <s v="Emeka Nwosu"/>
    <n v="50000000"/>
    <s v="NORMAL"/>
  </r>
  <r>
    <s v="LN00104"/>
    <s v="CUS0234"/>
    <s v="BR003"/>
    <s v="RM006"/>
    <x v="1"/>
    <n v="3000000"/>
    <n v="0.24"/>
    <n v="12"/>
    <d v="2024-10-15T00:00:00"/>
    <x v="0"/>
    <x v="7"/>
    <s v="Ibrahim Bello"/>
    <n v="75000000"/>
    <s v="NORMAL"/>
  </r>
  <r>
    <s v="LN00455"/>
    <s v="CUS0016"/>
    <s v="BR004"/>
    <s v="RM008"/>
    <x v="0"/>
    <n v="2000000"/>
    <n v="0.2"/>
    <n v="6"/>
    <d v="2024-02-19T00:00:00"/>
    <x v="1"/>
    <x v="2"/>
    <s v="Kingsley Obi"/>
    <n v="30000000"/>
    <s v="AT RISK"/>
  </r>
  <r>
    <s v="LN00250"/>
    <s v="CUS0103"/>
    <s v="BR001"/>
    <s v="RM002"/>
    <x v="0"/>
    <n v="1000000"/>
    <n v="0.24"/>
    <n v="12"/>
    <d v="2024-02-21T00:00:00"/>
    <x v="0"/>
    <x v="8"/>
    <s v="Emeka Nwosu"/>
    <n v="50000000"/>
    <s v="NORMAL"/>
  </r>
  <r>
    <s v="LN00168"/>
    <s v="CUS0240"/>
    <s v="BR008"/>
    <s v="RM015"/>
    <x v="2"/>
    <n v="7500000"/>
    <n v="0.18"/>
    <n v="6"/>
    <d v="2024-09-08T00:00:00"/>
    <x v="2"/>
    <x v="4"/>
    <s v="Rita Okonkwo"/>
    <n v="30000000"/>
    <s v="NORMAL"/>
  </r>
  <r>
    <s v="LN00469"/>
    <s v="CUS0196"/>
    <s v="BR004"/>
    <s v="RM007"/>
    <x v="2"/>
    <n v="750000"/>
    <n v="0.2"/>
    <n v="24"/>
    <d v="2024-08-14T00:00:00"/>
    <x v="2"/>
    <x v="2"/>
    <s v="Josephine Eze"/>
    <n v="30000000"/>
    <s v="NORMAL"/>
  </r>
  <r>
    <s v="LN00004"/>
    <s v="CUS0045"/>
    <s v="BR004"/>
    <s v="RM008"/>
    <x v="1"/>
    <n v="5000000"/>
    <n v="0.16"/>
    <n v="18"/>
    <d v="2024-11-25T00:00:00"/>
    <x v="0"/>
    <x v="2"/>
    <s v="Kingsley Obi"/>
    <n v="30000000"/>
    <s v="NORMAL"/>
  </r>
  <r>
    <s v="LN00339"/>
    <s v="CUS0144"/>
    <s v="BR010"/>
    <s v="RM019"/>
    <x v="1"/>
    <n v="500000"/>
    <n v="0.2"/>
    <n v="18"/>
    <d v="2024-02-04T00:00:00"/>
    <x v="0"/>
    <x v="5"/>
    <s v="Vivian Osei"/>
    <n v="40000000"/>
    <s v="NORMAL"/>
  </r>
  <r>
    <s v="LN00102"/>
    <s v="CUS0121"/>
    <s v="BR006"/>
    <s v="RM011"/>
    <x v="1"/>
    <n v="1500000"/>
    <n v="0.16"/>
    <n v="12"/>
    <d v="2024-12-02T00:00:00"/>
    <x v="0"/>
    <x v="9"/>
    <s v="Ngozi Chukwu"/>
    <n v="75000000"/>
    <s v="NORMAL"/>
  </r>
  <r>
    <s v="LN00002"/>
    <s v="CUS0222"/>
    <s v="BR008"/>
    <s v="RM016"/>
    <x v="2"/>
    <n v="10000000"/>
    <n v="0.18"/>
    <n v="36"/>
    <d v="2024-06-12T00:00:00"/>
    <x v="0"/>
    <x v="4"/>
    <s v="Segun Bankole"/>
    <n v="40000000"/>
    <s v="NORMAL"/>
  </r>
  <r>
    <s v="LN00487"/>
    <s v="CUS0077"/>
    <s v="BR005"/>
    <s v="RM010"/>
    <x v="2"/>
    <n v="3000000"/>
    <n v="0.16"/>
    <n v="24"/>
    <d v="2024-03-12T00:00:00"/>
    <x v="0"/>
    <x v="0"/>
    <s v="Musa Garba"/>
    <n v="75000000"/>
    <s v="NORMAL"/>
  </r>
  <r>
    <s v="LN00419"/>
    <s v="CUS0048"/>
    <s v="BR010"/>
    <s v="RM020"/>
    <x v="0"/>
    <n v="7500000"/>
    <n v="0.16"/>
    <n v="6"/>
    <d v="2024-07-16T00:00:00"/>
    <x v="2"/>
    <x v="5"/>
    <s v="Wale Akinwale"/>
    <n v="50000000"/>
    <s v="NORMAL"/>
  </r>
  <r>
    <s v="LN00245"/>
    <s v="CUS0196"/>
    <s v="BR004"/>
    <s v="RM007"/>
    <x v="1"/>
    <n v="7500000"/>
    <n v="0.2"/>
    <n v="24"/>
    <d v="2024-10-21T00:00:00"/>
    <x v="0"/>
    <x v="2"/>
    <s v="Josephine Eze"/>
    <n v="30000000"/>
    <s v="NORMAL"/>
  </r>
  <r>
    <s v="LN00173"/>
    <s v="CUS0025"/>
    <s v="BR008"/>
    <s v="RM016"/>
    <x v="1"/>
    <n v="500000"/>
    <n v="0.2"/>
    <n v="36"/>
    <d v="2024-09-24T00:00:00"/>
    <x v="2"/>
    <x v="4"/>
    <s v="Segun Bankole"/>
    <n v="40000000"/>
    <s v="NORMAL"/>
  </r>
  <r>
    <s v="LN00443"/>
    <s v="CUS0078"/>
    <s v="BR004"/>
    <s v="RM007"/>
    <x v="0"/>
    <n v="7500000"/>
    <n v="0.16"/>
    <n v="12"/>
    <d v="2024-05-14T00:00:00"/>
    <x v="0"/>
    <x v="2"/>
    <s v="Josephine Eze"/>
    <n v="30000000"/>
    <s v="NORMAL"/>
  </r>
  <r>
    <s v="LN00430"/>
    <s v="CUS0059"/>
    <s v="BR007"/>
    <s v="RM014"/>
    <x v="0"/>
    <n v="2000000"/>
    <n v="0.16"/>
    <n v="12"/>
    <d v="2024-06-29T00:00:00"/>
    <x v="1"/>
    <x v="1"/>
    <s v="Qudus Suleiman"/>
    <n v="75000000"/>
    <s v="AT RISK"/>
  </r>
  <r>
    <s v="LN00218"/>
    <s v="CUS0048"/>
    <s v="BR010"/>
    <s v="RM020"/>
    <x v="2"/>
    <n v="750000"/>
    <n v="0.22"/>
    <n v="18"/>
    <d v="2024-02-28T00:00:00"/>
    <x v="0"/>
    <x v="5"/>
    <s v="Wale Akinwale"/>
    <n v="50000000"/>
    <s v="NORMAL"/>
  </r>
  <r>
    <s v="LN00191"/>
    <s v="CUS0055"/>
    <s v="BR008"/>
    <s v="RM016"/>
    <x v="1"/>
    <n v="3000000"/>
    <n v="0.18"/>
    <n v="36"/>
    <d v="2024-09-28T00:00:00"/>
    <x v="0"/>
    <x v="4"/>
    <s v="Segun Bankole"/>
    <n v="40000000"/>
    <s v="NORMAL"/>
  </r>
  <r>
    <s v="LN00327"/>
    <s v="CUS0182"/>
    <s v="BR008"/>
    <s v="RM015"/>
    <x v="0"/>
    <n v="10000000"/>
    <n v="0.18"/>
    <n v="24"/>
    <d v="2024-10-08T00:00:00"/>
    <x v="0"/>
    <x v="4"/>
    <s v="Rita Okonkwo"/>
    <n v="30000000"/>
    <s v="NORMAL"/>
  </r>
  <r>
    <s v="LN00393"/>
    <s v="CUS0078"/>
    <s v="BR004"/>
    <s v="RM007"/>
    <x v="0"/>
    <n v="750000"/>
    <n v="0.2"/>
    <n v="6"/>
    <d v="2024-08-23T00:00:00"/>
    <x v="2"/>
    <x v="2"/>
    <s v="Josephine Eze"/>
    <n v="30000000"/>
    <s v="NORMAL"/>
  </r>
  <r>
    <s v="LN00088"/>
    <s v="CUS0016"/>
    <s v="BR004"/>
    <s v="RM008"/>
    <x v="2"/>
    <n v="2000000"/>
    <n v="0.18"/>
    <n v="36"/>
    <d v="2024-07-30T00:00:00"/>
    <x v="2"/>
    <x v="2"/>
    <s v="Kingsley Obi"/>
    <n v="30000000"/>
    <s v="NORMAL"/>
  </r>
  <r>
    <s v="LN00283"/>
    <s v="CUS0029"/>
    <s v="BR010"/>
    <s v="RM019"/>
    <x v="2"/>
    <n v="750000"/>
    <n v="0.18"/>
    <n v="12"/>
    <d v="2024-01-17T00:00:00"/>
    <x v="0"/>
    <x v="5"/>
    <s v="Vivian Osei"/>
    <n v="40000000"/>
    <s v="NORMAL"/>
  </r>
  <r>
    <s v="LN00160"/>
    <s v="CUS0186"/>
    <s v="BR005"/>
    <s v="RM009"/>
    <x v="2"/>
    <n v="1500000"/>
    <n v="0.2"/>
    <n v="18"/>
    <d v="2024-08-25T00:00:00"/>
    <x v="0"/>
    <x v="0"/>
    <s v="Lara Adeleke"/>
    <n v="40000000"/>
    <s v="NORMAL"/>
  </r>
  <r>
    <s v="LN00116"/>
    <s v="CUS0111"/>
    <s v="BR008"/>
    <s v="RM016"/>
    <x v="1"/>
    <n v="5000000"/>
    <n v="0.16"/>
    <n v="18"/>
    <d v="2024-04-15T00:00:00"/>
    <x v="2"/>
    <x v="4"/>
    <s v="Segun Bankole"/>
    <n v="40000000"/>
    <s v="NORMAL"/>
  </r>
  <r>
    <s v="LN00172"/>
    <s v="CUS0014"/>
    <s v="BR004"/>
    <s v="RM007"/>
    <x v="2"/>
    <n v="3000000"/>
    <n v="0.24"/>
    <n v="36"/>
    <d v="2024-08-30T00:00:00"/>
    <x v="2"/>
    <x v="2"/>
    <s v="Josephine Eze"/>
    <n v="30000000"/>
    <s v="NORMAL"/>
  </r>
  <r>
    <s v="LN00194"/>
    <s v="CUS0115"/>
    <s v="BR004"/>
    <s v="RM008"/>
    <x v="0"/>
    <n v="2000000"/>
    <n v="0.18"/>
    <n v="18"/>
    <d v="2024-09-20T00:00:00"/>
    <x v="2"/>
    <x v="2"/>
    <s v="Kingsley Obi"/>
    <n v="30000000"/>
    <s v="NORMAL"/>
  </r>
  <r>
    <s v="LN00117"/>
    <s v="CUS0237"/>
    <s v="BR006"/>
    <s v="RM012"/>
    <x v="1"/>
    <n v="2000000"/>
    <n v="0.2"/>
    <n v="12"/>
    <d v="2024-02-19T00:00:00"/>
    <x v="0"/>
    <x v="9"/>
    <s v="Obinna Nwachukwu"/>
    <n v="75000000"/>
    <s v="NORMAL"/>
  </r>
  <r>
    <s v="LN00186"/>
    <s v="CUS0058"/>
    <s v="BR006"/>
    <s v="RM012"/>
    <x v="1"/>
    <n v="3000000"/>
    <n v="0.24"/>
    <n v="36"/>
    <d v="2024-04-10T00:00:00"/>
    <x v="1"/>
    <x v="9"/>
    <s v="Obinna Nwachukwu"/>
    <n v="75000000"/>
    <s v="HIGH RISK"/>
  </r>
  <r>
    <s v="LN00151"/>
    <s v="CUS0058"/>
    <s v="BR006"/>
    <s v="RM012"/>
    <x v="1"/>
    <n v="2000000"/>
    <n v="0.22"/>
    <n v="36"/>
    <d v="2024-10-28T00:00:00"/>
    <x v="2"/>
    <x v="9"/>
    <s v="Obinna Nwachukwu"/>
    <n v="75000000"/>
    <s v="NORMAL"/>
  </r>
  <r>
    <s v="LN00081"/>
    <s v="CUS0066"/>
    <s v="BR006"/>
    <s v="RM011"/>
    <x v="2"/>
    <n v="750000"/>
    <n v="0.24"/>
    <n v="6"/>
    <d v="2024-01-23T00:00:00"/>
    <x v="2"/>
    <x v="9"/>
    <s v="Ngozi Chukwu"/>
    <n v="75000000"/>
    <s v="NORMAL"/>
  </r>
  <r>
    <s v="LN00274"/>
    <s v="CUS0054"/>
    <s v="BR009"/>
    <s v="RM018"/>
    <x v="0"/>
    <n v="2000000"/>
    <n v="0.18"/>
    <n v="6"/>
    <d v="2024-10-08T00:00:00"/>
    <x v="2"/>
    <x v="3"/>
    <s v="Uche Ikenna"/>
    <n v="50000000"/>
    <s v="NORMAL"/>
  </r>
  <r>
    <s v="LN00181"/>
    <s v="CUS0195"/>
    <s v="BR006"/>
    <s v="RM011"/>
    <x v="0"/>
    <n v="7500000"/>
    <n v="0.22"/>
    <n v="36"/>
    <d v="2024-05-26T00:00:00"/>
    <x v="2"/>
    <x v="9"/>
    <s v="Ngozi Chukwu"/>
    <n v="75000000"/>
    <s v="NORMAL"/>
  </r>
  <r>
    <s v="LN00294"/>
    <s v="CUS0094"/>
    <s v="BR005"/>
    <s v="RM010"/>
    <x v="1"/>
    <n v="1500000"/>
    <n v="0.2"/>
    <n v="6"/>
    <d v="2024-10-19T00:00:00"/>
    <x v="1"/>
    <x v="0"/>
    <s v="Musa Garba"/>
    <n v="75000000"/>
    <s v="AT RISK"/>
  </r>
  <r>
    <s v="LN00424"/>
    <s v="CUS0116"/>
    <s v="BR005"/>
    <s v="RM010"/>
    <x v="0"/>
    <n v="10000000"/>
    <n v="0.22"/>
    <n v="36"/>
    <d v="2024-12-13T00:00:00"/>
    <x v="1"/>
    <x v="0"/>
    <s v="Musa Garba"/>
    <n v="75000000"/>
    <s v="HIGH RISK"/>
  </r>
  <r>
    <s v="LN00234"/>
    <s v="CUS0103"/>
    <s v="BR001"/>
    <s v="RM002"/>
    <x v="1"/>
    <n v="10000000"/>
    <n v="0.24"/>
    <n v="6"/>
    <d v="2024-03-30T00:00:00"/>
    <x v="2"/>
    <x v="8"/>
    <s v="Emeka Nwosu"/>
    <n v="50000000"/>
    <s v="NORMAL"/>
  </r>
  <r>
    <s v="LN00101"/>
    <s v="CUS0083"/>
    <s v="BR002"/>
    <s v="RM003"/>
    <x v="0"/>
    <n v="-1000000"/>
    <n v="0.24"/>
    <n v="12"/>
    <d v="2024-01-16T00:00:00"/>
    <x v="0"/>
    <x v="6"/>
    <s v="Funmi Adeyemi"/>
    <n v="40000000"/>
    <s v="NORMAL"/>
  </r>
  <r>
    <s v="LN00271"/>
    <s v="CUS0202"/>
    <s v="BR010"/>
    <s v="RM019"/>
    <x v="0"/>
    <n v="7500000"/>
    <n v="0.16"/>
    <n v="18"/>
    <d v="2024-02-11T00:00:00"/>
    <x v="1"/>
    <x v="5"/>
    <s v="Vivian Osei"/>
    <n v="40000000"/>
    <s v="HIGH RISK"/>
  </r>
  <r>
    <s v="LN00330"/>
    <s v="CUS0128"/>
    <s v="BR006"/>
    <s v="RM011"/>
    <x v="1"/>
    <n v="7500000"/>
    <n v="0.24"/>
    <n v="24"/>
    <d v="2024-08-20T00:00:00"/>
    <x v="2"/>
    <x v="9"/>
    <s v="Ngozi Chukwu"/>
    <n v="75000000"/>
    <s v="NORMAL"/>
  </r>
  <r>
    <s v="LN00296"/>
    <s v="CUS0098"/>
    <s v="BR004"/>
    <s v="RM007"/>
    <x v="2"/>
    <n v="3000000"/>
    <n v="0.22"/>
    <n v="24"/>
    <d v="2024-03-02T00:00:00"/>
    <x v="2"/>
    <x v="2"/>
    <s v="Josephine Eze"/>
    <n v="30000000"/>
    <s v="NORMAL"/>
  </r>
  <r>
    <s v="LN00365"/>
    <s v="CUS0221"/>
    <s v="BR003"/>
    <s v="RM005"/>
    <x v="0"/>
    <n v="1500000"/>
    <n v="0.24"/>
    <n v="24"/>
    <d v="2024-11-16T00:00:00"/>
    <x v="2"/>
    <x v="7"/>
    <s v="Halima Musa"/>
    <n v="75000000"/>
    <s v="NORMAL"/>
  </r>
  <r>
    <s v="LN00382"/>
    <s v="CUS0070"/>
    <s v="BR008"/>
    <s v="RM015"/>
    <x v="0"/>
    <n v="2000000"/>
    <n v="0.22"/>
    <n v="24"/>
    <d v="2024-12-11T00:00:00"/>
    <x v="0"/>
    <x v="4"/>
    <s v="Rita Okonkwo"/>
    <n v="30000000"/>
    <s v="NORMAL"/>
  </r>
  <r>
    <s v="LN00427"/>
    <s v="CUS0076"/>
    <s v="BR010"/>
    <s v="RM020"/>
    <x v="0"/>
    <n v="10000000"/>
    <n v="0.22"/>
    <n v="18"/>
    <d v="2024-08-03T00:00:00"/>
    <x v="0"/>
    <x v="5"/>
    <s v="Wale Akinwale"/>
    <n v="50000000"/>
    <s v="NORMAL"/>
  </r>
  <r>
    <s v="LN00030"/>
    <s v="CUS0231"/>
    <s v="BR003"/>
    <s v="RM006"/>
    <x v="1"/>
    <n v="10000000"/>
    <n v="0.22"/>
    <n v="12"/>
    <d v="2024-03-12T00:00:00"/>
    <x v="2"/>
    <x v="7"/>
    <s v="Ibrahim Bello"/>
    <n v="75000000"/>
    <s v="NORMAL"/>
  </r>
  <r>
    <s v="LN00005"/>
    <s v="CUS0107"/>
    <s v="BR010"/>
    <s v="RM019"/>
    <x v="0"/>
    <n v="2000000"/>
    <n v="0.24"/>
    <n v="24"/>
    <d v="2024-05-03T00:00:00"/>
    <x v="2"/>
    <x v="5"/>
    <s v="Vivian Osei"/>
    <n v="40000000"/>
    <s v="NORMAL"/>
  </r>
  <r>
    <s v="LN00129"/>
    <s v="CUS0085"/>
    <s v="BR004"/>
    <s v="RM007"/>
    <x v="1"/>
    <n v="500000"/>
    <n v="0.2"/>
    <n v="18"/>
    <d v="2024-01-11T00:00:00"/>
    <x v="0"/>
    <x v="2"/>
    <s v="Josephine Eze"/>
    <n v="30000000"/>
    <s v="NORMAL"/>
  </r>
  <r>
    <s v="LN00458"/>
    <s v="CUS0044"/>
    <s v="BR001"/>
    <s v="RM001"/>
    <x v="1"/>
    <n v="750000"/>
    <n v="0.24"/>
    <n v="24"/>
    <d v="2024-07-06T00:00:00"/>
    <x v="2"/>
    <x v="8"/>
    <s v="Adaora Okafor"/>
    <n v="30000000"/>
    <s v="NORMAL"/>
  </r>
  <r>
    <s v="LN00360"/>
    <s v="CUS0020"/>
    <s v="BR002"/>
    <s v="RM003"/>
    <x v="1"/>
    <n v="7500000"/>
    <n v="0.24"/>
    <n v="24"/>
    <d v="2024-06-15T00:00:00"/>
    <x v="0"/>
    <x v="6"/>
    <s v="Funmi Adeyemi"/>
    <n v="40000000"/>
    <s v="NORMAL"/>
  </r>
  <r>
    <s v="LN00150"/>
    <s v="CUS0137"/>
    <s v="BR002"/>
    <s v="RM004"/>
    <x v="2"/>
    <n v="3000000"/>
    <n v="0.2"/>
    <n v="36"/>
    <d v="2024-04-07T00:00:00"/>
    <x v="2"/>
    <x v="6"/>
    <s v="Gbenga Adesanya"/>
    <n v="30000000"/>
    <s v="NORMAL"/>
  </r>
  <r>
    <s v="LN00404"/>
    <s v="CUS0062"/>
    <s v="BR003"/>
    <s v="RM006"/>
    <x v="2"/>
    <n v="500000"/>
    <n v="0.22"/>
    <n v="36"/>
    <d v="2024-02-15T00:00:00"/>
    <x v="0"/>
    <x v="7"/>
    <s v="Ibrahim Bello"/>
    <n v="75000000"/>
    <s v="NORMAL"/>
  </r>
  <r>
    <s v="LN00091"/>
    <s v="CUS0035"/>
    <s v="BR009"/>
    <s v="RM018"/>
    <x v="1"/>
    <n v="1000000"/>
    <n v="0.22"/>
    <n v="24"/>
    <d v="2024-06-09T00:00:00"/>
    <x v="0"/>
    <x v="3"/>
    <s v="Uche Ikenna"/>
    <n v="50000000"/>
    <s v="NORMAL"/>
  </r>
  <r>
    <s v="LN00065"/>
    <s v="CUS0171"/>
    <s v="BR009"/>
    <s v="RM017"/>
    <x v="1"/>
    <n v="500000"/>
    <n v="0.2"/>
    <n v="12"/>
    <d v="2024-08-07T00:00:00"/>
    <x v="0"/>
    <x v="3"/>
    <s v="Tunde Fashola"/>
    <n v="60000000"/>
    <s v="NORMAL"/>
  </r>
  <r>
    <s v="LN00209"/>
    <s v="CUS0068"/>
    <s v="BR002"/>
    <s v="RM004"/>
    <x v="1"/>
    <n v="750000"/>
    <n v="0.16"/>
    <n v="36"/>
    <d v="2024-11-19T00:00:00"/>
    <x v="0"/>
    <x v="6"/>
    <s v="Gbenga Adesanya"/>
    <n v="30000000"/>
    <s v="NORMAL"/>
  </r>
  <r>
    <s v="LN00350"/>
    <s v="CUS0198"/>
    <s v="BR010"/>
    <s v="RM019"/>
    <x v="0"/>
    <n v="750000"/>
    <n v="0.18"/>
    <n v="18"/>
    <d v="2024-02-28T00:00:00"/>
    <x v="0"/>
    <x v="5"/>
    <s v="Vivian Osei"/>
    <n v="40000000"/>
    <s v="NORMAL"/>
  </r>
  <r>
    <s v="LN00400"/>
    <s v="CUS0017"/>
    <s v="BR002"/>
    <s v="RM004"/>
    <x v="2"/>
    <n v="3000000"/>
    <n v="0.22"/>
    <n v="18"/>
    <d v="2024-03-02T00:00:00"/>
    <x v="0"/>
    <x v="6"/>
    <s v="Gbenga Adesanya"/>
    <n v="30000000"/>
    <s v="NORMAL"/>
  </r>
  <r>
    <s v="LN00170"/>
    <s v="CUS0128"/>
    <s v="BR006"/>
    <s v="RM011"/>
    <x v="0"/>
    <n v="750000"/>
    <n v="0.16"/>
    <n v="6"/>
    <d v="2024-07-25T00:00:00"/>
    <x v="0"/>
    <x v="9"/>
    <s v="Ngozi Chukwu"/>
    <n v="75000000"/>
    <s v="NORMAL"/>
  </r>
  <r>
    <s v="LN00119"/>
    <s v="CUS0075"/>
    <s v="BR008"/>
    <s v="RM016"/>
    <x v="2"/>
    <n v="750000"/>
    <n v="0.22"/>
    <n v="24"/>
    <d v="2024-09-07T00:00:00"/>
    <x v="2"/>
    <x v="4"/>
    <s v="Segun Bankole"/>
    <n v="40000000"/>
    <s v="NORMAL"/>
  </r>
  <r>
    <s v="LN00309"/>
    <s v="CUS0125"/>
    <s v="BR006"/>
    <s v="RM011"/>
    <x v="1"/>
    <n v="750000"/>
    <n v="0.24"/>
    <n v="24"/>
    <d v="2024-10-14T00:00:00"/>
    <x v="2"/>
    <x v="9"/>
    <s v="Ngozi Chukwu"/>
    <n v="75000000"/>
    <s v="NORMAL"/>
  </r>
  <r>
    <s v="LN00495"/>
    <s v="CUS0121"/>
    <s v="BR006"/>
    <s v="RM011"/>
    <x v="1"/>
    <n v="3000000"/>
    <n v="0.16"/>
    <n v="12"/>
    <d v="2024-12-23T00:00:00"/>
    <x v="2"/>
    <x v="9"/>
    <s v="Ngozi Chukwu"/>
    <n v="75000000"/>
    <s v="NORMAL"/>
  </r>
  <r>
    <s v="LN00310"/>
    <s v="CUS0136"/>
    <s v="BR006"/>
    <s v="RM012"/>
    <x v="0"/>
    <n v="7500000"/>
    <n v="0.18"/>
    <n v="6"/>
    <d v="2024-06-26T00:00:00"/>
    <x v="2"/>
    <x v="9"/>
    <s v="Obinna Nwachukwu"/>
    <n v="75000000"/>
    <s v="NORMAL"/>
  </r>
  <r>
    <s v="LN00346"/>
    <s v="CUS0024"/>
    <s v="BR008"/>
    <s v="RM015"/>
    <x v="0"/>
    <n v="500000"/>
    <n v="0.24"/>
    <n v="12"/>
    <d v="2024-04-07T00:00:00"/>
    <x v="0"/>
    <x v="4"/>
    <s v="Rita Okonkwo"/>
    <n v="30000000"/>
    <s v="NORMAL"/>
  </r>
  <r>
    <s v="LN00388"/>
    <s v="CUS0245"/>
    <s v="BR010"/>
    <s v="RM019"/>
    <x v="0"/>
    <n v="7500000"/>
    <n v="0.18"/>
    <n v="36"/>
    <d v="2024-07-20T00:00:00"/>
    <x v="0"/>
    <x v="5"/>
    <s v="Vivian Osei"/>
    <n v="40000000"/>
    <s v="NORMAL"/>
  </r>
  <r>
    <s v="LN00453"/>
    <s v="CUS0078"/>
    <s v="BR004"/>
    <s v="RM007"/>
    <x v="2"/>
    <n v="750000"/>
    <n v="0.18"/>
    <n v="12"/>
    <d v="2024-06-06T00:00:00"/>
    <x v="2"/>
    <x v="2"/>
    <s v="Josephine Eze"/>
    <n v="30000000"/>
    <s v="NORMAL"/>
  </r>
  <r>
    <s v="LN00012"/>
    <s v="CUS0150"/>
    <s v="BR006"/>
    <s v="RM012"/>
    <x v="1"/>
    <n v="5000000"/>
    <n v="0.18"/>
    <n v="18"/>
    <d v="2024-04-27T00:00:00"/>
    <x v="0"/>
    <x v="9"/>
    <s v="Obinna Nwachukwu"/>
    <n v="75000000"/>
    <s v="NORMAL"/>
  </r>
  <r>
    <s v="LN00020"/>
    <s v="CUS0003"/>
    <s v="BR004"/>
    <s v="RM008"/>
    <x v="1"/>
    <n v="750000"/>
    <n v="0.22"/>
    <n v="18"/>
    <d v="2024-10-16T00:00:00"/>
    <x v="1"/>
    <x v="2"/>
    <s v="Kingsley Obi"/>
    <n v="30000000"/>
    <s v="AT RISK"/>
  </r>
  <r>
    <s v="LN00142"/>
    <s v="CUS0128"/>
    <s v="BR006"/>
    <s v="RM011"/>
    <x v="0"/>
    <n v="5000000"/>
    <n v="0.16"/>
    <n v="36"/>
    <d v="2024-12-28T00:00:00"/>
    <x v="0"/>
    <x v="9"/>
    <s v="Ngozi Chukwu"/>
    <n v="75000000"/>
    <s v="NORMAL"/>
  </r>
  <r>
    <s v="LN00013"/>
    <s v="CUS0168"/>
    <s v="BR007"/>
    <s v="RM014"/>
    <x v="1"/>
    <n v="2000000"/>
    <n v="0.22"/>
    <n v="24"/>
    <d v="2024-08-23T00:00:00"/>
    <x v="0"/>
    <x v="1"/>
    <s v="Qudus Suleiman"/>
    <n v="75000000"/>
    <s v="NORMAL"/>
  </r>
  <r>
    <s v="LN00290"/>
    <s v="CUS0081"/>
    <s v="BR008"/>
    <s v="RM016"/>
    <x v="1"/>
    <n v="3000000"/>
    <n v="0.22"/>
    <n v="18"/>
    <d v="2024-11-07T00:00:00"/>
    <x v="0"/>
    <x v="4"/>
    <s v="Segun Bankole"/>
    <n v="40000000"/>
    <s v="NORMAL"/>
  </r>
  <r>
    <s v="LN00358"/>
    <s v="CUS0119"/>
    <s v="BR007"/>
    <s v="RM014"/>
    <x v="0"/>
    <n v="5000000"/>
    <n v="0.18"/>
    <n v="36"/>
    <d v="2024-03-22T00:00:00"/>
    <x v="2"/>
    <x v="1"/>
    <s v="Qudus Suleiman"/>
    <n v="75000000"/>
    <s v="NORMAL"/>
  </r>
  <r>
    <s v="LN00110"/>
    <s v="CUS0101"/>
    <s v="BR010"/>
    <s v="RM020"/>
    <x v="1"/>
    <n v="1000000"/>
    <n v="0.24"/>
    <n v="12"/>
    <d v="2024-11-23T00:00:00"/>
    <x v="1"/>
    <x v="5"/>
    <s v="Wale Akinwale"/>
    <n v="50000000"/>
    <s v="AT RISK"/>
  </r>
  <r>
    <s v="LN00490"/>
    <s v="CUS0066"/>
    <s v="BR006"/>
    <s v="RM011"/>
    <x v="1"/>
    <n v="7500000"/>
    <n v="0.16"/>
    <n v="18"/>
    <d v="2024-10-06T00:00:00"/>
    <x v="0"/>
    <x v="9"/>
    <s v="Ngozi Chukwu"/>
    <n v="75000000"/>
    <s v="NORMAL"/>
  </r>
  <r>
    <s v="LN00357"/>
    <s v="CUS0090"/>
    <s v="BR009"/>
    <s v="RM018"/>
    <x v="1"/>
    <n v="1000000"/>
    <n v="0.22"/>
    <n v="6"/>
    <d v="2024-06-15T00:00:00"/>
    <x v="2"/>
    <x v="3"/>
    <s v="Uche Ikenna"/>
    <n v="50000000"/>
    <s v="NORMAL"/>
  </r>
  <r>
    <s v="LN00216"/>
    <s v="CUS0214"/>
    <s v="BR003"/>
    <s v="RM005"/>
    <x v="2"/>
    <n v="2000000"/>
    <n v="0.18"/>
    <n v="36"/>
    <d v="2024-07-26T00:00:00"/>
    <x v="1"/>
    <x v="7"/>
    <s v="Halima Musa"/>
    <n v="75000000"/>
    <s v="AT RISK"/>
  </r>
  <r>
    <s v="LN00371"/>
    <s v="CUS0177"/>
    <s v="BR002"/>
    <s v="RM003"/>
    <x v="2"/>
    <n v="10000000"/>
    <n v="0.2"/>
    <n v="24"/>
    <d v="2024-09-21T00:00:00"/>
    <x v="1"/>
    <x v="6"/>
    <s v="Funmi Adeyemi"/>
    <n v="40000000"/>
    <s v="HIGH RISK"/>
  </r>
  <r>
    <s v="LN00396"/>
    <s v="CUS0079"/>
    <s v="BR005"/>
    <s v="RM009"/>
    <x v="0"/>
    <n v="7500000"/>
    <n v="0.16"/>
    <n v="6"/>
    <d v="2024-06-22T00:00:00"/>
    <x v="0"/>
    <x v="0"/>
    <s v="Lara Adeleke"/>
    <n v="40000000"/>
    <s v="NORMAL"/>
  </r>
  <r>
    <s v="LN00176"/>
    <s v="CUS0116"/>
    <s v="BR005"/>
    <s v="RM010"/>
    <x v="0"/>
    <n v="10000000"/>
    <n v="0.22"/>
    <n v="6"/>
    <d v="2024-09-28T00:00:00"/>
    <x v="0"/>
    <x v="0"/>
    <s v="Musa Garba"/>
    <n v="75000000"/>
    <s v="NORMAL"/>
  </r>
  <r>
    <s v="LN00033"/>
    <s v="CUS0113"/>
    <s v="BR008"/>
    <s v="RM015"/>
    <x v="0"/>
    <n v="1000000"/>
    <n v="0.24"/>
    <n v="12"/>
    <d v="2024-09-02T00:00:00"/>
    <x v="1"/>
    <x v="4"/>
    <s v="Rita Okonkwo"/>
    <n v="30000000"/>
    <s v="AT RISK"/>
  </r>
  <r>
    <s v="LN00039"/>
    <s v="CUS0174"/>
    <s v="BR006"/>
    <s v="RM011"/>
    <x v="1"/>
    <n v="3000000"/>
    <n v="0.22"/>
    <n v="6"/>
    <d v="2024-01-06T00:00:00"/>
    <x v="2"/>
    <x v="9"/>
    <s v="Ngozi Chukwu"/>
    <n v="75000000"/>
    <s v="NORMAL"/>
  </r>
  <r>
    <s v="LN00379"/>
    <s v="CUS0014"/>
    <s v="BR004"/>
    <s v="RM007"/>
    <x v="1"/>
    <n v="750000"/>
    <n v="0.22"/>
    <n v="24"/>
    <d v="2024-08-31T00:00:00"/>
    <x v="0"/>
    <x v="2"/>
    <s v="Josephine Eze"/>
    <n v="30000000"/>
    <s v="NORMAL"/>
  </r>
  <r>
    <s v="LN00423"/>
    <s v="CUS0149"/>
    <s v="BR009"/>
    <s v="RM018"/>
    <x v="1"/>
    <n v="1500000"/>
    <n v="0.2"/>
    <n v="36"/>
    <d v="2024-12-14T00:00:00"/>
    <x v="2"/>
    <x v="3"/>
    <s v="Uche Ikenna"/>
    <n v="50000000"/>
    <s v="NORMAL"/>
  </r>
  <r>
    <s v="LN00206"/>
    <s v="CUS0079"/>
    <s v="BR005"/>
    <s v="RM009"/>
    <x v="1"/>
    <n v="1000000"/>
    <n v="0.2"/>
    <n v="18"/>
    <d v="2024-08-07T00:00:00"/>
    <x v="2"/>
    <x v="0"/>
    <s v="Lara Adeleke"/>
    <n v="40000000"/>
    <s v="NORMAL"/>
  </r>
  <r>
    <s v="LN00320"/>
    <s v="CUS0158"/>
    <s v="BR002"/>
    <s v="RM004"/>
    <x v="0"/>
    <n v="3000000"/>
    <n v="0.18"/>
    <n v="24"/>
    <d v="2024-07-26T00:00:00"/>
    <x v="0"/>
    <x v="6"/>
    <s v="Gbenga Adesanya"/>
    <n v="30000000"/>
    <s v="NORMAL"/>
  </r>
  <r>
    <s v="LN00264"/>
    <s v="CUS0079"/>
    <s v="BR005"/>
    <s v="RM009"/>
    <x v="0"/>
    <n v="2000000"/>
    <n v="0.16"/>
    <n v="6"/>
    <d v="2024-09-24T00:00:00"/>
    <x v="0"/>
    <x v="0"/>
    <s v="Lara Adeleke"/>
    <n v="40000000"/>
    <s v="NORMAL"/>
  </r>
  <r>
    <s v="LN00112"/>
    <s v="CUS0003"/>
    <s v="BR004"/>
    <s v="RM008"/>
    <x v="0"/>
    <n v="1500000"/>
    <n v="0.2"/>
    <n v="18"/>
    <d v="2024-02-25T00:00:00"/>
    <x v="2"/>
    <x v="2"/>
    <s v="Kingsley Obi"/>
    <n v="30000000"/>
    <s v="NORMAL"/>
  </r>
  <r>
    <s v="LN00120"/>
    <s v="CUS0100"/>
    <s v="BR003"/>
    <s v="RM005"/>
    <x v="2"/>
    <n v="5000000"/>
    <n v="0.22"/>
    <n v="6"/>
    <d v="2024-05-14T00:00:00"/>
    <x v="2"/>
    <x v="7"/>
    <s v="Halima Musa"/>
    <n v="75000000"/>
    <s v="NORMAL"/>
  </r>
  <r>
    <s v="LN00481"/>
    <s v="CUS0160"/>
    <s v="BR001"/>
    <s v="RM001"/>
    <x v="1"/>
    <n v="10000000"/>
    <n v="0.16"/>
    <n v="36"/>
    <d v="2024-04-05T00:00:00"/>
    <x v="2"/>
    <x v="8"/>
    <s v="Adaora Okafor"/>
    <n v="30000000"/>
    <s v="NORMAL"/>
  </r>
  <r>
    <s v="LN00043"/>
    <s v="CUS0218"/>
    <s v="BR010"/>
    <s v="RM020"/>
    <x v="0"/>
    <n v="750000"/>
    <n v="0.18"/>
    <n v="12"/>
    <d v="2024-09-21T00:00:00"/>
    <x v="2"/>
    <x v="5"/>
    <s v="Wale Akinwale"/>
    <n v="50000000"/>
    <s v="NORMAL"/>
  </r>
  <r>
    <s v="LN00367"/>
    <s v="CUS0074"/>
    <s v="BR009"/>
    <s v="RM017"/>
    <x v="1"/>
    <n v="-1000000"/>
    <n v="0.16"/>
    <n v="12"/>
    <d v="2024-09-06T00:00:00"/>
    <x v="1"/>
    <x v="3"/>
    <s v="Tunde Fashola"/>
    <n v="60000000"/>
    <s v="AT RISK"/>
  </r>
  <r>
    <s v="LN00080"/>
    <s v="CUS0183"/>
    <s v="BR001"/>
    <s v="RM002"/>
    <x v="1"/>
    <n v="750000"/>
    <n v="0.24"/>
    <n v="18"/>
    <d v="2024-01-29T00:00:00"/>
    <x v="0"/>
    <x v="8"/>
    <s v="Emeka Nwosu"/>
    <n v="50000000"/>
    <s v="NORMAL"/>
  </r>
  <r>
    <s v="LN00485"/>
    <s v="CUS0212"/>
    <s v="BR001"/>
    <s v="RM001"/>
    <x v="0"/>
    <n v="7500000"/>
    <n v="0.22"/>
    <n v="24"/>
    <d v="2024-11-27T00:00:00"/>
    <x v="2"/>
    <x v="8"/>
    <s v="Adaora Okafor"/>
    <n v="30000000"/>
    <s v="NORMAL"/>
  </r>
  <r>
    <s v="LN00238"/>
    <s v="CUS0071"/>
    <s v="BR008"/>
    <s v="RM016"/>
    <x v="2"/>
    <n v="1500000"/>
    <n v="0.22"/>
    <n v="36"/>
    <d v="2024-01-03T00:00:00"/>
    <x v="2"/>
    <x v="4"/>
    <s v="Segun Bankole"/>
    <n v="40000000"/>
    <s v="NORMAL"/>
  </r>
  <r>
    <s v="LN00175"/>
    <s v="CUS0212"/>
    <s v="BR001"/>
    <s v="RM001"/>
    <x v="2"/>
    <n v="3000000"/>
    <n v="0.22"/>
    <n v="6"/>
    <d v="2024-11-20T00:00:00"/>
    <x v="0"/>
    <x v="8"/>
    <s v="Adaora Okafor"/>
    <n v="30000000"/>
    <s v="NORMAL"/>
  </r>
  <r>
    <s v="LN00279"/>
    <s v="CUS0065"/>
    <s v="BR001"/>
    <s v="RM001"/>
    <x v="2"/>
    <n v="7500000"/>
    <n v="0.24"/>
    <n v="24"/>
    <d v="2024-04-07T00:00:00"/>
    <x v="0"/>
    <x v="8"/>
    <s v="Adaora Okafor"/>
    <n v="30000000"/>
    <s v="NORMAL"/>
  </r>
  <r>
    <s v="LN00459"/>
    <s v="CUS0028"/>
    <s v="BR010"/>
    <s v="RM019"/>
    <x v="2"/>
    <n v="5000000"/>
    <n v="0.24"/>
    <n v="12"/>
    <d v="2024-07-27T00:00:00"/>
    <x v="1"/>
    <x v="5"/>
    <s v="Vivian Osei"/>
    <n v="40000000"/>
    <s v="HIGH RISK"/>
  </r>
  <r>
    <s v="LN00302"/>
    <s v="CUS0109"/>
    <s v="BR006"/>
    <s v="RM012"/>
    <x v="0"/>
    <n v="1500000"/>
    <n v="0.24"/>
    <n v="6"/>
    <d v="2024-06-05T00:00:00"/>
    <x v="2"/>
    <x v="9"/>
    <s v="Obinna Nwachukwu"/>
    <n v="75000000"/>
    <s v="NORMAL"/>
  </r>
  <r>
    <s v="LN00219"/>
    <s v="CUS0042"/>
    <s v="BR004"/>
    <s v="RM007"/>
    <x v="1"/>
    <n v="500000"/>
    <n v="0.18"/>
    <n v="36"/>
    <d v="2024-10-30T00:00:00"/>
    <x v="0"/>
    <x v="2"/>
    <s v="Josephine Eze"/>
    <n v="30000000"/>
    <s v="NORMAL"/>
  </r>
  <r>
    <s v="LN00223"/>
    <s v="CUS0237"/>
    <s v="BR006"/>
    <s v="RM012"/>
    <x v="0"/>
    <n v="750000"/>
    <n v="0.22"/>
    <n v="12"/>
    <d v="2024-02-25T00:00:00"/>
    <x v="0"/>
    <x v="9"/>
    <s v="Obinna Nwachukwu"/>
    <n v="75000000"/>
    <s v="NORMAL"/>
  </r>
  <r>
    <s v="LN00096"/>
    <s v="CUS0067"/>
    <s v="BR010"/>
    <s v="RM019"/>
    <x v="2"/>
    <n v="750000"/>
    <n v="0.22"/>
    <n v="12"/>
    <d v="2024-02-17T00:00:00"/>
    <x v="0"/>
    <x v="5"/>
    <s v="Vivian Osei"/>
    <n v="40000000"/>
    <s v="NORMAL"/>
  </r>
  <r>
    <s v="LN00280"/>
    <s v="CUS0120"/>
    <s v="BR010"/>
    <s v="RM020"/>
    <x v="0"/>
    <n v="10000000"/>
    <n v="0.24"/>
    <n v="12"/>
    <d v="2024-08-18T00:00:00"/>
    <x v="2"/>
    <x v="5"/>
    <s v="Wale Akinwale"/>
    <n v="50000000"/>
    <s v="NORMAL"/>
  </r>
  <r>
    <s v="LN00441"/>
    <s v="CUS0086"/>
    <s v="BR001"/>
    <s v="RM002"/>
    <x v="2"/>
    <n v="5000000"/>
    <n v="0.22"/>
    <n v="18"/>
    <d v="2024-07-31T00:00:00"/>
    <x v="0"/>
    <x v="8"/>
    <s v="Emeka Nwosu"/>
    <n v="50000000"/>
    <s v="NORMAL"/>
  </r>
  <r>
    <s v="LN00047"/>
    <s v="CUS0081"/>
    <s v="BR008"/>
    <s v="RM016"/>
    <x v="1"/>
    <n v="5000000"/>
    <n v="0.2"/>
    <n v="18"/>
    <d v="2024-08-22T00:00:00"/>
    <x v="0"/>
    <x v="4"/>
    <s v="Segun Bankole"/>
    <n v="40000000"/>
    <s v="NORMAL"/>
  </r>
  <r>
    <s v="LN00456"/>
    <s v="CUS0231"/>
    <s v="BR003"/>
    <s v="RM006"/>
    <x v="2"/>
    <n v="-3000000"/>
    <n v="0.18"/>
    <n v="18"/>
    <d v="2024-10-23T00:00:00"/>
    <x v="2"/>
    <x v="7"/>
    <s v="Ibrahim Bello"/>
    <n v="75000000"/>
    <s v="NORMAL"/>
  </r>
  <r>
    <s v="LN00319"/>
    <s v="CUS0196"/>
    <s v="BR004"/>
    <s v="RM007"/>
    <x v="2"/>
    <n v="5000000"/>
    <n v="0.18"/>
    <n v="12"/>
    <d v="2024-02-03T00:00:00"/>
    <x v="1"/>
    <x v="2"/>
    <s v="Josephine Eze"/>
    <n v="30000000"/>
    <s v="HIGH RISK"/>
  </r>
  <r>
    <s v="LN00244"/>
    <s v="CUS0059"/>
    <s v="BR007"/>
    <s v="RM014"/>
    <x v="2"/>
    <n v="3000000"/>
    <n v="0.16"/>
    <n v="6"/>
    <d v="2024-02-10T00:00:00"/>
    <x v="0"/>
    <x v="1"/>
    <s v="Qudus Suleiman"/>
    <n v="75000000"/>
    <s v="NORMAL"/>
  </r>
  <r>
    <s v="LN00312"/>
    <s v="CUS0036"/>
    <s v="BR006"/>
    <s v="RM011"/>
    <x v="2"/>
    <n v="5000000"/>
    <n v="0.24"/>
    <n v="12"/>
    <d v="2024-08-01T00:00:00"/>
    <x v="2"/>
    <x v="9"/>
    <s v="Ngozi Chukwu"/>
    <n v="75000000"/>
    <s v="NORMAL"/>
  </r>
  <r>
    <s v="LN00229"/>
    <s v="CUS0105"/>
    <s v="BR003"/>
    <s v="RM006"/>
    <x v="0"/>
    <n v="1000000"/>
    <n v="0.24"/>
    <n v="18"/>
    <d v="2024-05-13T00:00:00"/>
    <x v="2"/>
    <x v="7"/>
    <s v="Ibrahim Bello"/>
    <n v="75000000"/>
    <s v="NORMAL"/>
  </r>
  <r>
    <s v="LN00251"/>
    <s v="CUS0220"/>
    <s v="BR006"/>
    <s v="RM012"/>
    <x v="0"/>
    <n v="1000000"/>
    <n v="0.18"/>
    <n v="24"/>
    <d v="2024-01-05T00:00:00"/>
    <x v="0"/>
    <x v="9"/>
    <s v="Obinna Nwachukwu"/>
    <n v="75000000"/>
    <s v="NORMAL"/>
  </r>
  <r>
    <s v="LN00103"/>
    <s v="CUS0189"/>
    <s v="BR002"/>
    <s v="RM004"/>
    <x v="2"/>
    <n v="5000000"/>
    <n v="0.18"/>
    <n v="12"/>
    <d v="2024-05-01T00:00:00"/>
    <x v="0"/>
    <x v="6"/>
    <s v="Gbenga Adesanya"/>
    <n v="30000000"/>
    <s v="NORMAL"/>
  </r>
  <r>
    <s v="LN00263"/>
    <s v="CUS0153"/>
    <s v="BR002"/>
    <s v="RM003"/>
    <x v="0"/>
    <n v="5000000"/>
    <n v="0.24"/>
    <n v="18"/>
    <d v="2024-06-26T00:00:00"/>
    <x v="2"/>
    <x v="6"/>
    <s v="Funmi Adeyemi"/>
    <n v="40000000"/>
    <s v="NORMAL"/>
  </r>
  <r>
    <s v="LN00189"/>
    <s v="CUS0161"/>
    <s v="BR007"/>
    <s v="RM014"/>
    <x v="1"/>
    <n v="2000000"/>
    <n v="0.24"/>
    <n v="36"/>
    <d v="2024-07-02T00:00:00"/>
    <x v="0"/>
    <x v="1"/>
    <s v="Qudus Suleiman"/>
    <n v="75000000"/>
    <s v="NORMAL"/>
  </r>
  <r>
    <s v="LN00050"/>
    <s v="CUS0045"/>
    <s v="BR004"/>
    <s v="RM008"/>
    <x v="1"/>
    <n v="7500000"/>
    <n v="0.18"/>
    <n v="18"/>
    <d v="2024-08-18T00:00:00"/>
    <x v="1"/>
    <x v="2"/>
    <s v="Kingsley Obi"/>
    <n v="30000000"/>
    <s v="HIGH RISK"/>
  </r>
  <r>
    <s v="LN00184"/>
    <s v="CUS0190"/>
    <s v="BR001"/>
    <s v="RM001"/>
    <x v="1"/>
    <n v="10000000"/>
    <n v="0.24"/>
    <n v="18"/>
    <d v="2024-12-20T00:00:00"/>
    <x v="1"/>
    <x v="8"/>
    <s v="Adaora Okafor"/>
    <n v="30000000"/>
    <s v="HIGH RISK"/>
  </r>
  <r>
    <s v="LN00437"/>
    <s v="CUS0240"/>
    <s v="BR008"/>
    <s v="RM015"/>
    <x v="0"/>
    <n v="500000"/>
    <n v="0.22"/>
    <n v="6"/>
    <d v="2024-09-19T00:00:00"/>
    <x v="0"/>
    <x v="4"/>
    <s v="Rita Okonkwo"/>
    <n v="30000000"/>
    <s v="NORMAL"/>
  </r>
  <r>
    <s v="LN00159"/>
    <s v="CUS0061"/>
    <s v="BR003"/>
    <s v="RM006"/>
    <x v="2"/>
    <n v="750000"/>
    <n v="0.24"/>
    <n v="24"/>
    <d v="2024-03-17T00:00:00"/>
    <x v="0"/>
    <x v="7"/>
    <s v="Ibrahim Bello"/>
    <n v="75000000"/>
    <s v="NORMAL"/>
  </r>
  <r>
    <s v="LN00410"/>
    <s v="CUS0029"/>
    <s v="BR010"/>
    <s v="RM019"/>
    <x v="0"/>
    <n v="750000"/>
    <n v="0.22"/>
    <n v="12"/>
    <d v="2024-07-11T00:00:00"/>
    <x v="2"/>
    <x v="5"/>
    <s v="Vivian Osei"/>
    <n v="40000000"/>
    <s v="NORMAL"/>
  </r>
  <r>
    <s v="LN00387"/>
    <s v="CUS0178"/>
    <s v="BR007"/>
    <s v="RM013"/>
    <x v="1"/>
    <n v="2000000"/>
    <n v="0.16"/>
    <n v="18"/>
    <d v="2024-02-01T00:00:00"/>
    <x v="2"/>
    <x v="1"/>
    <s v="Patience Uche"/>
    <n v="40000000"/>
    <s v="NORMAL"/>
  </r>
  <r>
    <s v="LN00153"/>
    <s v="CUS0092"/>
    <s v="BR008"/>
    <s v="RM016"/>
    <x v="2"/>
    <n v="-5000000"/>
    <n v="0.18"/>
    <n v="12"/>
    <d v="2024-04-18T00:00:00"/>
    <x v="0"/>
    <x v="4"/>
    <s v="Segun Bankole"/>
    <n v="40000000"/>
    <s v="NORMAL"/>
  </r>
  <r>
    <s v="LN00062"/>
    <s v="CUS0127"/>
    <s v="BR006"/>
    <s v="RM011"/>
    <x v="0"/>
    <n v="2000000"/>
    <n v="0.24"/>
    <n v="12"/>
    <d v="2024-10-16T00:00:00"/>
    <x v="0"/>
    <x v="9"/>
    <s v="Ngozi Chukwu"/>
    <n v="75000000"/>
    <s v="NORMAL"/>
  </r>
  <r>
    <s v="LN00325"/>
    <s v="CUS0035"/>
    <s v="BR009"/>
    <s v="RM018"/>
    <x v="0"/>
    <n v="3000000"/>
    <n v="0.18"/>
    <n v="24"/>
    <d v="2024-10-29T00:00:00"/>
    <x v="1"/>
    <x v="3"/>
    <s v="Uche Ikenna"/>
    <n v="50000000"/>
    <s v="HIGH RISK"/>
  </r>
  <r>
    <s v="LN00471"/>
    <s v="CUS0169"/>
    <s v="BR004"/>
    <s v="RM007"/>
    <x v="1"/>
    <n v="10000000"/>
    <n v="0.22"/>
    <n v="36"/>
    <d v="2024-03-21T00:00:00"/>
    <x v="2"/>
    <x v="2"/>
    <s v="Josephine Eze"/>
    <n v="30000000"/>
    <s v="NORMAL"/>
  </r>
  <r>
    <s v="LN00207"/>
    <s v="CUS0183"/>
    <s v="BR001"/>
    <s v="RM002"/>
    <x v="1"/>
    <n v="5000000"/>
    <n v="0.2"/>
    <n v="12"/>
    <d v="2024-12-13T00:00:00"/>
    <x v="1"/>
    <x v="8"/>
    <s v="Emeka Nwosu"/>
    <n v="50000000"/>
    <s v="HIGH RISK"/>
  </r>
  <r>
    <s v="LN00199"/>
    <s v="CUS0129"/>
    <s v="BR002"/>
    <s v="RM003"/>
    <x v="2"/>
    <n v="2000000"/>
    <n v="0.2"/>
    <n v="24"/>
    <d v="2024-07-14T00:00:00"/>
    <x v="0"/>
    <x v="6"/>
    <s v="Funmi Adeyemi"/>
    <n v="40000000"/>
    <s v="NORMAL"/>
  </r>
  <r>
    <s v="LN00372"/>
    <s v="CUS0121"/>
    <s v="BR006"/>
    <s v="RM011"/>
    <x v="1"/>
    <n v="750000"/>
    <n v="0.24"/>
    <n v="36"/>
    <d v="2024-06-08T00:00:00"/>
    <x v="1"/>
    <x v="9"/>
    <s v="Ngozi Chukwu"/>
    <n v="75000000"/>
    <s v="AT RISK"/>
  </r>
  <r>
    <s v="LN00107"/>
    <s v="CUS0037"/>
    <s v="BR002"/>
    <s v="RM003"/>
    <x v="2"/>
    <n v="3000000"/>
    <n v="0.2"/>
    <n v="24"/>
    <d v="2024-10-27T00:00:00"/>
    <x v="2"/>
    <x v="6"/>
    <s v="Funmi Adeyemi"/>
    <n v="40000000"/>
    <s v="NORMAL"/>
  </r>
  <r>
    <s v="LN00011"/>
    <s v="CUS0195"/>
    <s v="BR006"/>
    <s v="RM011"/>
    <x v="0"/>
    <n v="3000000"/>
    <n v="0.16"/>
    <n v="36"/>
    <d v="2024-04-23T00:00:00"/>
    <x v="2"/>
    <x v="9"/>
    <s v="Ngozi Chukwu"/>
    <n v="75000000"/>
    <s v="NORMAL"/>
  </r>
  <r>
    <s v="LN00414"/>
    <s v="CUS0220"/>
    <s v="BR006"/>
    <s v="RM012"/>
    <x v="1"/>
    <n v="1500000"/>
    <n v="0.22"/>
    <n v="18"/>
    <d v="2024-01-08T00:00:00"/>
    <x v="0"/>
    <x v="9"/>
    <s v="Obinna Nwachukwu"/>
    <n v="75000000"/>
    <s v="NORMAL"/>
  </r>
  <r>
    <s v="LN00301"/>
    <s v="CUS0135"/>
    <s v="BR004"/>
    <s v="RM008"/>
    <x v="2"/>
    <n v="750000"/>
    <n v="0.22"/>
    <n v="18"/>
    <d v="2024-12-16T00:00:00"/>
    <x v="2"/>
    <x v="2"/>
    <s v="Kingsley Obi"/>
    <n v="30000000"/>
    <s v="NORMAL"/>
  </r>
  <r>
    <s v="LN00123"/>
    <s v="CUS0183"/>
    <s v="BR001"/>
    <s v="RM002"/>
    <x v="2"/>
    <n v="10000000"/>
    <n v="0.24"/>
    <n v="12"/>
    <d v="2024-03-02T00:00:00"/>
    <x v="2"/>
    <x v="8"/>
    <s v="Emeka Nwosu"/>
    <n v="50000000"/>
    <s v="NORMAL"/>
  </r>
  <r>
    <s v="LN00492"/>
    <s v="CUS0170"/>
    <s v="BR007"/>
    <s v="RM014"/>
    <x v="2"/>
    <n v="1500000"/>
    <n v="0.22"/>
    <n v="18"/>
    <d v="2024-11-23T00:00:00"/>
    <x v="2"/>
    <x v="1"/>
    <s v="Qudus Suleiman"/>
    <n v="75000000"/>
    <s v="NORMAL"/>
  </r>
  <r>
    <s v="LN00131"/>
    <s v="CUS0069"/>
    <s v="BR006"/>
    <s v="RM011"/>
    <x v="1"/>
    <n v="750000"/>
    <n v="0.18"/>
    <n v="24"/>
    <d v="2024-09-05T00:00:00"/>
    <x v="1"/>
    <x v="9"/>
    <s v="Ngozi Chukwu"/>
    <n v="75000000"/>
    <s v="AT RISK"/>
  </r>
  <r>
    <s v="LN00205"/>
    <s v="CUS0092"/>
    <s v="BR008"/>
    <s v="RM016"/>
    <x v="2"/>
    <n v="1500000"/>
    <n v="0.24"/>
    <n v="6"/>
    <d v="2024-04-09T00:00:00"/>
    <x v="0"/>
    <x v="4"/>
    <s v="Segun Bankole"/>
    <n v="40000000"/>
    <s v="NORMAL"/>
  </r>
  <r>
    <s v="LN00463"/>
    <s v="CUS0037"/>
    <s v="BR002"/>
    <s v="RM003"/>
    <x v="0"/>
    <n v="750000"/>
    <n v="0.18"/>
    <n v="6"/>
    <d v="2024-07-05T00:00:00"/>
    <x v="2"/>
    <x v="6"/>
    <s v="Funmi Adeyemi"/>
    <n v="40000000"/>
    <s v="NORMAL"/>
  </r>
  <r>
    <s v="LN00431"/>
    <s v="CUS0042"/>
    <s v="BR004"/>
    <s v="RM007"/>
    <x v="1"/>
    <n v="2000000"/>
    <n v="0.18"/>
    <n v="12"/>
    <d v="2024-03-23T00:00:00"/>
    <x v="2"/>
    <x v="2"/>
    <s v="Josephine Eze"/>
    <n v="30000000"/>
    <s v="NORMAL"/>
  </r>
  <r>
    <s v="LN00281"/>
    <s v="CUS0001"/>
    <s v="BR010"/>
    <s v="RM020"/>
    <x v="1"/>
    <n v="5000000"/>
    <n v="0.16"/>
    <n v="36"/>
    <d v="2024-07-05T00:00:00"/>
    <x v="2"/>
    <x v="5"/>
    <s v="Wale Akinwale"/>
    <n v="50000000"/>
    <s v="NORMAL"/>
  </r>
  <r>
    <s v="LN00037"/>
    <s v="CUS0097"/>
    <s v="BR002"/>
    <s v="RM003"/>
    <x v="2"/>
    <n v="7500000"/>
    <n v="0.24"/>
    <n v="36"/>
    <d v="2024-12-20T00:00:00"/>
    <x v="2"/>
    <x v="6"/>
    <s v="Funmi Adeyemi"/>
    <n v="40000000"/>
    <s v="NORMAL"/>
  </r>
  <r>
    <s v="LN00029"/>
    <s v="CUS0023"/>
    <s v="BR002"/>
    <s v="RM003"/>
    <x v="0"/>
    <n v="750000"/>
    <n v="0.2"/>
    <n v="24"/>
    <d v="2024-01-07T00:00:00"/>
    <x v="2"/>
    <x v="6"/>
    <s v="Funmi Adeyemi"/>
    <n v="40000000"/>
    <s v="NORMAL"/>
  </r>
  <r>
    <s v="LN00308"/>
    <s v="CUS0093"/>
    <s v="BR006"/>
    <s v="RM012"/>
    <x v="2"/>
    <n v="2000000"/>
    <n v="0.22"/>
    <n v="12"/>
    <d v="2024-07-13T00:00:00"/>
    <x v="0"/>
    <x v="9"/>
    <s v="Obinna Nwachukwu"/>
    <n v="75000000"/>
    <s v="NORMAL"/>
  </r>
  <r>
    <s v="LN00398"/>
    <s v="CUS0126"/>
    <s v="BR002"/>
    <s v="RM004"/>
    <x v="1"/>
    <n v="7500000"/>
    <n v="0.24"/>
    <n v="6"/>
    <d v="2024-05-04T00:00:00"/>
    <x v="2"/>
    <x v="6"/>
    <s v="Gbenga Adesanya"/>
    <n v="30000000"/>
    <s v="NORMAL"/>
  </r>
  <r>
    <s v="LN00025"/>
    <s v="CUS0197"/>
    <s v="BR008"/>
    <s v="RM015"/>
    <x v="1"/>
    <n v="5000000"/>
    <n v="0.2"/>
    <n v="6"/>
    <d v="2024-11-20T00:00:00"/>
    <x v="1"/>
    <x v="4"/>
    <s v="Rita Okonkwo"/>
    <n v="30000000"/>
    <s v="HIGH RISK"/>
  </r>
  <r>
    <s v="LN00345"/>
    <s v="CUS0061"/>
    <s v="BR003"/>
    <s v="RM006"/>
    <x v="0"/>
    <n v="2000000"/>
    <n v="0.2"/>
    <n v="12"/>
    <d v="2024-02-27T00:00:00"/>
    <x v="2"/>
    <x v="7"/>
    <s v="Ibrahim Bello"/>
    <n v="75000000"/>
    <s v="NORMAL"/>
  </r>
  <r>
    <s v="LN00498"/>
    <s v="CUS0197"/>
    <s v="BR008"/>
    <s v="RM015"/>
    <x v="1"/>
    <n v="5000000"/>
    <n v="0.2"/>
    <n v="24"/>
    <d v="2024-09-01T00:00:00"/>
    <x v="2"/>
    <x v="4"/>
    <s v="Rita Okonkwo"/>
    <n v="30000000"/>
    <s v="NORMAL"/>
  </r>
  <r>
    <s v="LN00292"/>
    <s v="CUS0133"/>
    <s v="BR006"/>
    <s v="RM011"/>
    <x v="2"/>
    <n v="500000"/>
    <n v="0.18"/>
    <n v="12"/>
    <d v="2024-06-10T00:00:00"/>
    <x v="0"/>
    <x v="9"/>
    <s v="Ngozi Chukwu"/>
    <n v="75000000"/>
    <s v="NORMAL"/>
  </r>
  <r>
    <s v="LN00167"/>
    <s v="CUS0187"/>
    <s v="BR002"/>
    <s v="RM003"/>
    <x v="2"/>
    <n v="3000000"/>
    <n v="0.22"/>
    <n v="12"/>
    <d v="2024-10-12T00:00:00"/>
    <x v="0"/>
    <x v="6"/>
    <s v="Funmi Adeyemi"/>
    <n v="40000000"/>
    <s v="NORMAL"/>
  </r>
  <r>
    <s v="LN00232"/>
    <s v="CUS0131"/>
    <s v="BR009"/>
    <s v="RM017"/>
    <x v="0"/>
    <n v="10000000"/>
    <n v="0.16"/>
    <n v="12"/>
    <d v="2024-07-18T00:00:00"/>
    <x v="2"/>
    <x v="3"/>
    <s v="Tunde Fashola"/>
    <n v="60000000"/>
    <s v="NORMAL"/>
  </r>
  <r>
    <s v="LN00405"/>
    <s v="CUS0002"/>
    <s v="BR002"/>
    <s v="RM004"/>
    <x v="1"/>
    <n v="1500000"/>
    <n v="0.24"/>
    <n v="6"/>
    <d v="2024-11-12T00:00:00"/>
    <x v="0"/>
    <x v="6"/>
    <s v="Gbenga Adesanya"/>
    <n v="30000000"/>
    <s v="NORMAL"/>
  </r>
  <r>
    <s v="LN00334"/>
    <s v="CUS0095"/>
    <s v="BR007"/>
    <s v="RM013"/>
    <x v="0"/>
    <n v="5000000"/>
    <n v="0.16"/>
    <n v="18"/>
    <d v="2024-08-29T00:00:00"/>
    <x v="0"/>
    <x v="1"/>
    <s v="Patience Uche"/>
    <n v="40000000"/>
    <s v="NORMAL"/>
  </r>
  <r>
    <s v="LN00343"/>
    <s v="CUS0176"/>
    <s v="BR007"/>
    <s v="RM013"/>
    <x v="0"/>
    <n v="750000"/>
    <n v="0.2"/>
    <n v="6"/>
    <d v="2024-06-22T00:00:00"/>
    <x v="0"/>
    <x v="1"/>
    <s v="Patience Uche"/>
    <n v="40000000"/>
    <s v="NORMAL"/>
  </r>
  <r>
    <s v="LN00305"/>
    <s v="CUS0121"/>
    <s v="BR006"/>
    <s v="RM011"/>
    <x v="2"/>
    <n v="1500000"/>
    <n v="0.18"/>
    <n v="12"/>
    <d v="2024-10-06T00:00:00"/>
    <x v="2"/>
    <x v="9"/>
    <s v="Ngozi Chukwu"/>
    <n v="75000000"/>
    <s v="NORMAL"/>
  </r>
  <r>
    <s v="LN00138"/>
    <s v="CUS0182"/>
    <s v="BR008"/>
    <s v="RM015"/>
    <x v="1"/>
    <n v="5000000"/>
    <n v="0.2"/>
    <n v="24"/>
    <d v="2024-05-09T00:00:00"/>
    <x v="2"/>
    <x v="4"/>
    <s v="Rita Okonkwo"/>
    <n v="30000000"/>
    <s v="NORMAL"/>
  </r>
  <r>
    <s v="LN00233"/>
    <s v="CUS0038"/>
    <s v="BR005"/>
    <s v="RM010"/>
    <x v="0"/>
    <n v="5000000"/>
    <n v="0.2"/>
    <n v="12"/>
    <d v="2024-07-08T00:00:00"/>
    <x v="2"/>
    <x v="0"/>
    <s v="Musa Garba"/>
    <n v="75000000"/>
    <s v="NORMAL"/>
  </r>
  <r>
    <s v="LN00246"/>
    <s v="CUS0235"/>
    <s v="BR004"/>
    <s v="RM007"/>
    <x v="1"/>
    <n v="5000000"/>
    <n v="0.24"/>
    <n v="12"/>
    <d v="2024-01-28T00:00:00"/>
    <x v="2"/>
    <x v="2"/>
    <s v="Josephine Eze"/>
    <n v="30000000"/>
    <s v="NORMAL"/>
  </r>
  <r>
    <s v="LN00236"/>
    <s v="CUS0093"/>
    <s v="BR006"/>
    <s v="RM012"/>
    <x v="2"/>
    <n v="500000"/>
    <n v="0.16"/>
    <n v="18"/>
    <d v="2024-07-23T00:00:00"/>
    <x v="2"/>
    <x v="9"/>
    <s v="Obinna Nwachukwu"/>
    <n v="75000000"/>
    <s v="NORMAL"/>
  </r>
  <r>
    <s v="LN00042"/>
    <s v="CUS0134"/>
    <s v="BR005"/>
    <s v="RM010"/>
    <x v="0"/>
    <n v="7500000"/>
    <n v="0.22"/>
    <n v="18"/>
    <d v="2024-02-04T00:00:00"/>
    <x v="0"/>
    <x v="0"/>
    <s v="Musa Garba"/>
    <n v="75000000"/>
    <s v="NORMAL"/>
  </r>
  <r>
    <s v="LN00482"/>
    <s v="CUS0191"/>
    <s v="BR010"/>
    <s v="RM019"/>
    <x v="0"/>
    <n v="10000000"/>
    <n v="0.22"/>
    <n v="36"/>
    <d v="2024-11-16T00:00:00"/>
    <x v="2"/>
    <x v="5"/>
    <s v="Vivian Osei"/>
    <n v="40000000"/>
    <s v="NORMAL"/>
  </r>
  <r>
    <s v="LN00079"/>
    <s v="CUS0043"/>
    <s v="BR006"/>
    <s v="RM012"/>
    <x v="0"/>
    <n v="2000000"/>
    <n v="0.16"/>
    <n v="6"/>
    <d v="2024-06-20T00:00:00"/>
    <x v="2"/>
    <x v="9"/>
    <s v="Obinna Nwachukwu"/>
    <n v="75000000"/>
    <s v="NORMAL"/>
  </r>
  <r>
    <s v="LN00464"/>
    <s v="CUS0104"/>
    <s v="BR003"/>
    <s v="RM006"/>
    <x v="2"/>
    <n v="5000000"/>
    <n v="0.2"/>
    <n v="36"/>
    <d v="2024-10-30T00:00:00"/>
    <x v="0"/>
    <x v="7"/>
    <s v="Ibrahim Bello"/>
    <n v="75000000"/>
    <s v="NORMAL"/>
  </r>
  <r>
    <s v="LN00055"/>
    <s v="CUS0116"/>
    <s v="BR005"/>
    <s v="RM010"/>
    <x v="0"/>
    <n v="750000"/>
    <n v="0.16"/>
    <n v="12"/>
    <d v="2024-04-17T00:00:00"/>
    <x v="0"/>
    <x v="0"/>
    <s v="Musa Garba"/>
    <n v="75000000"/>
    <s v="NORMAL"/>
  </r>
  <r>
    <s v="LN00303"/>
    <s v="CUS0206"/>
    <s v="BR006"/>
    <s v="RM012"/>
    <x v="0"/>
    <n v="1000000"/>
    <n v="0.18"/>
    <n v="12"/>
    <d v="2024-12-16T00:00:00"/>
    <x v="0"/>
    <x v="9"/>
    <s v="Obinna Nwachukwu"/>
    <n v="75000000"/>
    <s v="NORMAL"/>
  </r>
  <r>
    <s v="LN00192"/>
    <s v="CUS0167"/>
    <s v="BR010"/>
    <s v="RM020"/>
    <x v="2"/>
    <n v="3000000"/>
    <n v="0.24"/>
    <n v="36"/>
    <d v="2024-05-04T00:00:00"/>
    <x v="0"/>
    <x v="5"/>
    <s v="Wale Akinwale"/>
    <n v="50000000"/>
    <s v="NORMAL"/>
  </r>
  <r>
    <s v="LN00202"/>
    <s v="CUS0101"/>
    <s v="BR010"/>
    <s v="RM020"/>
    <x v="1"/>
    <n v="750000"/>
    <n v="0.2"/>
    <n v="12"/>
    <d v="2024-07-30T00:00:00"/>
    <x v="1"/>
    <x v="5"/>
    <s v="Wale Akinwale"/>
    <n v="50000000"/>
    <s v="AT RISK"/>
  </r>
  <r>
    <s v="LN00063"/>
    <s v="CUS0196"/>
    <s v="BR004"/>
    <s v="RM007"/>
    <x v="2"/>
    <n v="750000"/>
    <n v="0.22"/>
    <n v="6"/>
    <d v="2024-03-04T00:00:00"/>
    <x v="2"/>
    <x v="2"/>
    <s v="Josephine Eze"/>
    <n v="30000000"/>
    <s v="NORMAL"/>
  </r>
  <r>
    <s v="LN00353"/>
    <s v="CUS0181"/>
    <s v="BR010"/>
    <s v="RM020"/>
    <x v="1"/>
    <n v="7500000"/>
    <n v="0.2"/>
    <n v="18"/>
    <d v="2024-04-11T00:00:00"/>
    <x v="0"/>
    <x v="5"/>
    <s v="Wale Akinwale"/>
    <n v="50000000"/>
    <s v="NORMAL"/>
  </r>
  <r>
    <s v="LN00014"/>
    <s v="CUS0185"/>
    <s v="BR007"/>
    <s v="RM014"/>
    <x v="1"/>
    <n v="1000000"/>
    <n v="0.24"/>
    <n v="6"/>
    <d v="2024-09-25T00:00:00"/>
    <x v="0"/>
    <x v="1"/>
    <s v="Qudus Suleiman"/>
    <n v="75000000"/>
    <s v="NORMAL"/>
  </r>
  <r>
    <s v="LN00169"/>
    <s v="CUS0130"/>
    <s v="BR005"/>
    <s v="RM009"/>
    <x v="2"/>
    <n v="5000000"/>
    <n v="0.18"/>
    <n v="6"/>
    <d v="2024-08-23T00:00:00"/>
    <x v="0"/>
    <x v="0"/>
    <s v="Lara Adeleke"/>
    <n v="40000000"/>
    <s v="NORMAL"/>
  </r>
  <r>
    <s v="LN00451"/>
    <s v="CUS0177"/>
    <s v="BR002"/>
    <s v="RM003"/>
    <x v="1"/>
    <n v="10000000"/>
    <n v="0.16"/>
    <n v="24"/>
    <d v="2024-08-23T00:00:00"/>
    <x v="2"/>
    <x v="6"/>
    <s v="Funmi Adeyemi"/>
    <n v="40000000"/>
    <s v="NORMAL"/>
  </r>
  <r>
    <s v="LN00403"/>
    <s v="CUS0046"/>
    <s v="BR006"/>
    <s v="RM012"/>
    <x v="2"/>
    <n v="2000000"/>
    <n v="0.22"/>
    <n v="12"/>
    <d v="2024-04-15T00:00:00"/>
    <x v="2"/>
    <x v="9"/>
    <s v="Obinna Nwachukwu"/>
    <n v="75000000"/>
    <s v="NORMAL"/>
  </r>
  <r>
    <s v="LN00127"/>
    <s v="CUS0241"/>
    <s v="BR006"/>
    <s v="RM011"/>
    <x v="2"/>
    <n v="750000"/>
    <n v="0.24"/>
    <n v="18"/>
    <d v="2024-07-29T00:00:00"/>
    <x v="0"/>
    <x v="9"/>
    <s v="Ngozi Chukwu"/>
    <n v="75000000"/>
    <s v="NORMAL"/>
  </r>
  <r>
    <s v="LN00040"/>
    <s v="CUS0143"/>
    <s v="BR002"/>
    <s v="RM003"/>
    <x v="1"/>
    <n v="1500000"/>
    <n v="0.22"/>
    <n v="24"/>
    <d v="2024-12-13T00:00:00"/>
    <x v="0"/>
    <x v="6"/>
    <s v="Funmi Adeyemi"/>
    <n v="40000000"/>
    <s v="NORMAL"/>
  </r>
  <r>
    <s v="LN00214"/>
    <s v="CUS0172"/>
    <s v="BR003"/>
    <s v="RM006"/>
    <x v="2"/>
    <n v="3000000"/>
    <n v="0.22"/>
    <n v="6"/>
    <d v="2024-01-21T00:00:00"/>
    <x v="2"/>
    <x v="7"/>
    <s v="Ibrahim Bello"/>
    <n v="75000000"/>
    <s v="NORMAL"/>
  </r>
  <r>
    <s v="LN00461"/>
    <s v="CUS0117"/>
    <s v="BR003"/>
    <s v="RM005"/>
    <x v="1"/>
    <n v="2000000"/>
    <n v="0.22"/>
    <n v="12"/>
    <d v="2024-10-10T00:00:00"/>
    <x v="1"/>
    <x v="7"/>
    <s v="Halima Musa"/>
    <n v="75000000"/>
    <s v="AT RISK"/>
  </r>
  <r>
    <s v="LN00293"/>
    <s v="CUS0071"/>
    <s v="BR008"/>
    <s v="RM016"/>
    <x v="1"/>
    <n v="10000000"/>
    <n v="0.24"/>
    <n v="12"/>
    <d v="2024-02-18T00:00:00"/>
    <x v="2"/>
    <x v="4"/>
    <s v="Segun Bankole"/>
    <n v="40000000"/>
    <s v="NORMAL"/>
  </r>
  <r>
    <s v="LN00270"/>
    <s v="CUS0073"/>
    <s v="BR006"/>
    <s v="RM011"/>
    <x v="0"/>
    <n v="7500000"/>
    <n v="0.18"/>
    <n v="6"/>
    <d v="2024-03-18T00:00:00"/>
    <x v="2"/>
    <x v="9"/>
    <s v="Ngozi Chukwu"/>
    <n v="75000000"/>
    <s v="NORMAL"/>
  </r>
  <r>
    <s v="LN00435"/>
    <s v="CUS0147"/>
    <s v="BR007"/>
    <s v="RM013"/>
    <x v="1"/>
    <n v="7500000"/>
    <n v="0.16"/>
    <n v="24"/>
    <d v="2024-01-21T00:00:00"/>
    <x v="0"/>
    <x v="1"/>
    <s v="Patience Uche"/>
    <n v="40000000"/>
    <s v="NORMAL"/>
  </r>
  <r>
    <s v="LN00473"/>
    <s v="CUS0090"/>
    <s v="BR009"/>
    <s v="RM018"/>
    <x v="1"/>
    <n v="500000"/>
    <n v="0.2"/>
    <n v="24"/>
    <d v="2024-02-19T00:00:00"/>
    <x v="1"/>
    <x v="3"/>
    <s v="Uche Ikenna"/>
    <n v="50000000"/>
    <s v="AT RISK"/>
  </r>
  <r>
    <s v="LN00460"/>
    <s v="CUS0029"/>
    <s v="BR010"/>
    <s v="RM019"/>
    <x v="1"/>
    <n v="7500000"/>
    <n v="0.2"/>
    <n v="36"/>
    <d v="2024-01-21T00:00:00"/>
    <x v="0"/>
    <x v="5"/>
    <s v="Vivian Osei"/>
    <n v="40000000"/>
    <s v="NORMAL"/>
  </r>
  <r>
    <s v="LN00300"/>
    <s v="CUS0179"/>
    <s v="BR009"/>
    <s v="RM018"/>
    <x v="2"/>
    <n v="7500000"/>
    <n v="0.22"/>
    <n v="24"/>
    <d v="2024-11-29T00:00:00"/>
    <x v="0"/>
    <x v="3"/>
    <s v="Uche Ikenna"/>
    <n v="50000000"/>
    <s v="NORMAL"/>
  </r>
  <r>
    <s v="LN00340"/>
    <s v="CUS0002"/>
    <s v="BR002"/>
    <s v="RM004"/>
    <x v="2"/>
    <n v="3000000"/>
    <n v="0.24"/>
    <n v="36"/>
    <d v="2024-01-15T00:00:00"/>
    <x v="2"/>
    <x v="6"/>
    <s v="Gbenga Adesanya"/>
    <n v="30000000"/>
    <s v="NORMAL"/>
  </r>
  <r>
    <s v="LN00289"/>
    <s v="CUS0027"/>
    <s v="BR010"/>
    <s v="RM020"/>
    <x v="2"/>
    <n v="10000000"/>
    <n v="0.2"/>
    <n v="12"/>
    <d v="2024-09-30T00:00:00"/>
    <x v="2"/>
    <x v="5"/>
    <s v="Wale Akinwale"/>
    <n v="50000000"/>
    <s v="NORMAL"/>
  </r>
  <r>
    <s v="LN00140"/>
    <s v="CUS0124"/>
    <s v="BR008"/>
    <s v="RM016"/>
    <x v="2"/>
    <n v="2000000"/>
    <n v="0.2"/>
    <n v="18"/>
    <d v="2024-12-01T00:00:00"/>
    <x v="1"/>
    <x v="4"/>
    <s v="Segun Bankole"/>
    <n v="40000000"/>
    <s v="AT RISK"/>
  </r>
  <r>
    <s v="LN00261"/>
    <s v="CUS0064"/>
    <s v="BR006"/>
    <s v="RM011"/>
    <x v="1"/>
    <n v="7500000"/>
    <n v="0.18"/>
    <n v="36"/>
    <d v="2024-03-28T00:00:00"/>
    <x v="0"/>
    <x v="9"/>
    <s v="Ngozi Chukwu"/>
    <n v="75000000"/>
    <s v="NORMAL"/>
  </r>
  <r>
    <s v="LN00420"/>
    <s v="CUS0110"/>
    <s v="BR010"/>
    <s v="RM020"/>
    <x v="0"/>
    <n v="10000000"/>
    <n v="0.18"/>
    <n v="6"/>
    <d v="2024-11-13T00:00:00"/>
    <x v="0"/>
    <x v="5"/>
    <s v="Wale Akinwale"/>
    <n v="50000000"/>
    <s v="NORMAL"/>
  </r>
  <r>
    <s v="LN00486"/>
    <s v="CUS0008"/>
    <s v="BR009"/>
    <s v="RM018"/>
    <x v="0"/>
    <n v="10000000"/>
    <n v="0.16"/>
    <n v="24"/>
    <d v="2024-01-11T00:00:00"/>
    <x v="1"/>
    <x v="3"/>
    <s v="Uche Ikenna"/>
    <n v="50000000"/>
    <s v="HIGH RISK"/>
  </r>
  <r>
    <s v="LN00146"/>
    <s v="CUS0014"/>
    <s v="BR004"/>
    <s v="RM007"/>
    <x v="1"/>
    <n v="750000"/>
    <n v="0.18"/>
    <n v="36"/>
    <d v="2024-03-02T00:00:00"/>
    <x v="2"/>
    <x v="2"/>
    <s v="Josephine Eze"/>
    <n v="30000000"/>
    <s v="NORMAL"/>
  </r>
  <r>
    <s v="LN00048"/>
    <s v="CUS0077"/>
    <s v="BR005"/>
    <s v="RM010"/>
    <x v="1"/>
    <n v="750000"/>
    <n v="0.2"/>
    <n v="6"/>
    <d v="2024-05-02T00:00:00"/>
    <x v="2"/>
    <x v="0"/>
    <s v="Musa Garba"/>
    <n v="75000000"/>
    <s v="NORMAL"/>
  </r>
  <r>
    <s v="LN00179"/>
    <s v="CUS0227"/>
    <s v="BR009"/>
    <s v="RM018"/>
    <x v="1"/>
    <n v="2000000"/>
    <n v="0.24"/>
    <n v="18"/>
    <d v="2024-12-30T00:00:00"/>
    <x v="0"/>
    <x v="3"/>
    <s v="Uche Ikenna"/>
    <n v="50000000"/>
    <s v="NORMAL"/>
  </r>
  <r>
    <s v="LN00064"/>
    <s v="CUS0246"/>
    <s v="BR008"/>
    <s v="RM015"/>
    <x v="0"/>
    <n v="1000000"/>
    <n v="0.2"/>
    <n v="12"/>
    <d v="2024-05-20T00:00:00"/>
    <x v="2"/>
    <x v="4"/>
    <s v="Rita Okonkwo"/>
    <n v="30000000"/>
    <s v="NORMAL"/>
  </r>
  <r>
    <s v="LN00076"/>
    <s v="CUS0131"/>
    <s v="BR009"/>
    <s v="RM017"/>
    <x v="2"/>
    <n v="10000000"/>
    <n v="0.24"/>
    <n v="6"/>
    <d v="2024-06-07T00:00:00"/>
    <x v="0"/>
    <x v="3"/>
    <s v="Tunde Fashola"/>
    <n v="60000000"/>
    <s v="NORMAL"/>
  </r>
  <r>
    <s v="LN00058"/>
    <s v="CUS0174"/>
    <s v="BR006"/>
    <s v="RM011"/>
    <x v="2"/>
    <n v="5000000"/>
    <n v="0.2"/>
    <n v="12"/>
    <d v="2024-12-25T00:00:00"/>
    <x v="2"/>
    <x v="9"/>
    <s v="Ngozi Chukwu"/>
    <n v="75000000"/>
    <s v="NORMAL"/>
  </r>
  <r>
    <s v="LN00418"/>
    <s v="CUS0172"/>
    <s v="BR003"/>
    <s v="RM006"/>
    <x v="0"/>
    <n v="7500000"/>
    <n v="0.24"/>
    <n v="6"/>
    <d v="2024-08-20T00:00:00"/>
    <x v="2"/>
    <x v="7"/>
    <s v="Ibrahim Bello"/>
    <n v="75000000"/>
    <s v="NORMAL"/>
  </r>
  <r>
    <s v="LN00470"/>
    <s v="CUS0221"/>
    <s v="BR003"/>
    <s v="RM005"/>
    <x v="0"/>
    <n v="1000000"/>
    <n v="0.18"/>
    <n v="18"/>
    <d v="2024-07-18T00:00:00"/>
    <x v="2"/>
    <x v="7"/>
    <s v="Halima Musa"/>
    <n v="75000000"/>
    <s v="NORMAL"/>
  </r>
  <r>
    <s v="LN00249"/>
    <s v="CUS0069"/>
    <s v="BR006"/>
    <s v="RM011"/>
    <x v="0"/>
    <n v="3000000"/>
    <n v="0.22"/>
    <n v="24"/>
    <d v="2024-04-17T00:00:00"/>
    <x v="0"/>
    <x v="9"/>
    <s v="Ngozi Chukwu"/>
    <n v="75000000"/>
    <s v="NORMAL"/>
  </r>
  <r>
    <s v="LN00288"/>
    <s v="CUS0243"/>
    <s v="BR002"/>
    <s v="RM004"/>
    <x v="2"/>
    <n v="10000000"/>
    <n v="0.16"/>
    <n v="36"/>
    <d v="2024-07-02T00:00:00"/>
    <x v="0"/>
    <x v="6"/>
    <s v="Gbenga Adesanya"/>
    <n v="30000000"/>
    <s v="NORMAL"/>
  </r>
  <r>
    <s v="LN00183"/>
    <s v="CUS0065"/>
    <s v="BR001"/>
    <s v="RM001"/>
    <x v="2"/>
    <n v="2000000"/>
    <n v="0.24"/>
    <n v="6"/>
    <d v="2024-07-02T00:00:00"/>
    <x v="2"/>
    <x v="8"/>
    <s v="Adaora Okafor"/>
    <n v="30000000"/>
    <s v="NORMAL"/>
  </r>
  <r>
    <s v="LN00227"/>
    <s v="CUS0179"/>
    <s v="BR009"/>
    <s v="RM018"/>
    <x v="1"/>
    <n v="5000000"/>
    <n v="0.22"/>
    <n v="12"/>
    <d v="2024-02-12T00:00:00"/>
    <x v="1"/>
    <x v="3"/>
    <s v="Uche Ikenna"/>
    <n v="50000000"/>
    <s v="HIGH RISK"/>
  </r>
  <r>
    <s v="LN00021"/>
    <s v="CUS0236"/>
    <s v="BR003"/>
    <s v="RM005"/>
    <x v="2"/>
    <n v="1500000"/>
    <n v="0.24"/>
    <n v="24"/>
    <d v="2024-05-18T00:00:00"/>
    <x v="2"/>
    <x v="7"/>
    <s v="Halima Musa"/>
    <n v="75000000"/>
    <s v="NORMAL"/>
  </r>
  <r>
    <s v="LN00500"/>
    <s v="CUS0058"/>
    <s v="BR006"/>
    <s v="RM012"/>
    <x v="2"/>
    <n v="10000000"/>
    <n v="0.18"/>
    <n v="6"/>
    <d v="2024-08-24T00:00:00"/>
    <x v="0"/>
    <x v="9"/>
    <s v="Obinna Nwachukwu"/>
    <n v="75000000"/>
    <s v="NORMAL"/>
  </r>
  <r>
    <s v="LN00407"/>
    <s v="CUS0046"/>
    <s v="BR006"/>
    <s v="RM012"/>
    <x v="2"/>
    <n v="500000"/>
    <n v="0.2"/>
    <n v="18"/>
    <d v="2024-04-17T00:00:00"/>
    <x v="2"/>
    <x v="9"/>
    <s v="Obinna Nwachukwu"/>
    <n v="75000000"/>
    <s v="NORMAL"/>
  </r>
  <r>
    <s v="LN00391"/>
    <s v="CUS0101"/>
    <s v="BR010"/>
    <s v="RM020"/>
    <x v="1"/>
    <n v="10000000"/>
    <n v="0.22"/>
    <n v="24"/>
    <d v="2024-08-11T00:00:00"/>
    <x v="0"/>
    <x v="5"/>
    <s v="Wale Akinwale"/>
    <n v="50000000"/>
    <s v="NORMAL"/>
  </r>
  <r>
    <s v="LN00416"/>
    <s v="CUS0121"/>
    <s v="BR006"/>
    <s v="RM011"/>
    <x v="1"/>
    <n v="500000"/>
    <n v="0.22"/>
    <n v="24"/>
    <d v="2024-12-22T00:00:00"/>
    <x v="0"/>
    <x v="9"/>
    <s v="Ngozi Chukwu"/>
    <n v="75000000"/>
    <s v="NORMAL"/>
  </r>
  <r>
    <s v="LN00362"/>
    <s v="CUS0210"/>
    <s v="BR004"/>
    <s v="RM008"/>
    <x v="2"/>
    <n v="500000"/>
    <n v="0.18"/>
    <n v="24"/>
    <d v="2024-09-29T00:00:00"/>
    <x v="0"/>
    <x v="2"/>
    <s v="Kingsley Obi"/>
    <n v="30000000"/>
    <s v="NORMAL"/>
  </r>
  <r>
    <s v="LN00084"/>
    <s v="CUS0206"/>
    <s v="BR006"/>
    <s v="RM012"/>
    <x v="1"/>
    <n v="5000000"/>
    <n v="0.22"/>
    <n v="18"/>
    <d v="2024-06-08T00:00:00"/>
    <x v="0"/>
    <x v="9"/>
    <s v="Obinna Nwachukwu"/>
    <n v="75000000"/>
    <s v="NORMAL"/>
  </r>
  <r>
    <s v="LN00408"/>
    <s v="CUS0195"/>
    <s v="BR006"/>
    <s v="RM011"/>
    <x v="0"/>
    <n v="750000"/>
    <n v="0.24"/>
    <n v="12"/>
    <d v="2024-03-21T00:00:00"/>
    <x v="0"/>
    <x v="9"/>
    <s v="Ngozi Chukwu"/>
    <n v="75000000"/>
    <s v="NORMAL"/>
  </r>
  <r>
    <s v="LN00467"/>
    <s v="CUS0174"/>
    <s v="BR006"/>
    <s v="RM011"/>
    <x v="0"/>
    <n v="2000000"/>
    <n v="0.16"/>
    <n v="6"/>
    <d v="2024-12-04T00:00:00"/>
    <x v="0"/>
    <x v="9"/>
    <s v="Ngozi Chukwu"/>
    <n v="75000000"/>
    <s v="NORMAL"/>
  </r>
  <r>
    <s v="LN00019"/>
    <s v="CUS0179"/>
    <s v="BR009"/>
    <s v="RM018"/>
    <x v="2"/>
    <n v="750000"/>
    <n v="0.16"/>
    <n v="6"/>
    <d v="2024-07-26T00:00:00"/>
    <x v="0"/>
    <x v="3"/>
    <s v="Uche Ikenna"/>
    <n v="50000000"/>
    <s v="NORMAL"/>
  </r>
  <r>
    <s v="LN00094"/>
    <s v="CUS0045"/>
    <s v="BR004"/>
    <s v="RM008"/>
    <x v="2"/>
    <n v="7500000"/>
    <n v="0.24"/>
    <n v="12"/>
    <d v="2024-02-18T00:00:00"/>
    <x v="0"/>
    <x v="2"/>
    <s v="Kingsley Obi"/>
    <n v="30000000"/>
    <s v="NORMAL"/>
  </r>
  <r>
    <s v="LN00118"/>
    <s v="CUS0040"/>
    <s v="BR003"/>
    <s v="RM006"/>
    <x v="2"/>
    <n v="500000"/>
    <n v="0.2"/>
    <n v="36"/>
    <d v="2024-09-02T00:00:00"/>
    <x v="2"/>
    <x v="7"/>
    <s v="Ibrahim Bello"/>
    <n v="75000000"/>
    <s v="NORMAL"/>
  </r>
  <r>
    <s v="LN00381"/>
    <s v="CUS0174"/>
    <s v="BR006"/>
    <s v="RM011"/>
    <x v="0"/>
    <n v="500000"/>
    <n v="0.24"/>
    <n v="18"/>
    <d v="2024-08-09T00:00:00"/>
    <x v="0"/>
    <x v="9"/>
    <s v="Ngozi Chukwu"/>
    <n v="75000000"/>
    <s v="NORMAL"/>
  </r>
  <r>
    <s v="LN00077"/>
    <s v="CUS0015"/>
    <s v="BR003"/>
    <s v="RM005"/>
    <x v="2"/>
    <n v="5000000"/>
    <n v="0.24"/>
    <n v="36"/>
    <d v="2024-01-29T00:00:00"/>
    <x v="0"/>
    <x v="7"/>
    <s v="Halima Musa"/>
    <n v="75000000"/>
    <s v="NORMAL"/>
  </r>
  <r>
    <s v="LN00488"/>
    <s v="CUS0031"/>
    <s v="BR001"/>
    <s v="RM002"/>
    <x v="1"/>
    <n v="10000000"/>
    <n v="0.16"/>
    <n v="12"/>
    <d v="2024-11-03T00:00:00"/>
    <x v="0"/>
    <x v="8"/>
    <s v="Emeka Nwosu"/>
    <n v="50000000"/>
    <s v="NORMAL"/>
  </r>
  <r>
    <s v="LN00028"/>
    <s v="CUS0114"/>
    <s v="BR001"/>
    <s v="RM002"/>
    <x v="0"/>
    <n v="750000"/>
    <n v="0.18"/>
    <n v="24"/>
    <d v="2024-08-17T00:00:00"/>
    <x v="0"/>
    <x v="8"/>
    <s v="Emeka Nwosu"/>
    <n v="50000000"/>
    <s v="NORMAL"/>
  </r>
  <r>
    <s v="LN00226"/>
    <s v="CUS0012"/>
    <s v="BR005"/>
    <s v="RM009"/>
    <x v="1"/>
    <n v="5000000"/>
    <n v="0.22"/>
    <n v="24"/>
    <d v="2024-06-28T00:00:00"/>
    <x v="0"/>
    <x v="0"/>
    <s v="Lara Adeleke"/>
    <n v="40000000"/>
    <s v="NORMAL"/>
  </r>
  <r>
    <s v="LN00326"/>
    <s v="CUS0024"/>
    <s v="BR008"/>
    <s v="RM015"/>
    <x v="0"/>
    <n v="1000000"/>
    <n v="0.16"/>
    <n v="6"/>
    <d v="2024-02-28T00:00:00"/>
    <x v="0"/>
    <x v="4"/>
    <s v="Rita Okonkwo"/>
    <n v="30000000"/>
    <s v="NORMAL"/>
  </r>
  <r>
    <s v="LN00337"/>
    <s v="CUS0158"/>
    <s v="BR002"/>
    <s v="RM004"/>
    <x v="1"/>
    <n v="10000000"/>
    <n v="0.22"/>
    <n v="24"/>
    <d v="2024-04-02T00:00:00"/>
    <x v="2"/>
    <x v="6"/>
    <s v="Gbenga Adesanya"/>
    <n v="30000000"/>
    <s v="NORMAL"/>
  </r>
  <r>
    <s v="LN00285"/>
    <s v="CUS0239"/>
    <s v="BR006"/>
    <s v="RM011"/>
    <x v="2"/>
    <n v="7500000"/>
    <n v="0.16"/>
    <n v="24"/>
    <d v="2024-11-23T00:00:00"/>
    <x v="0"/>
    <x v="9"/>
    <s v="Ngozi Chukwu"/>
    <n v="75000000"/>
    <s v="NORMAL"/>
  </r>
  <r>
    <s v="LN00078"/>
    <s v="CUS0031"/>
    <s v="BR001"/>
    <s v="RM002"/>
    <x v="2"/>
    <n v="1000000"/>
    <n v="0.18"/>
    <n v="24"/>
    <d v="2024-06-26T00:00:00"/>
    <x v="0"/>
    <x v="8"/>
    <s v="Emeka Nwosu"/>
    <n v="50000000"/>
    <s v="NORMAL"/>
  </r>
  <r>
    <s v="LN00252"/>
    <s v="CUS0218"/>
    <s v="BR010"/>
    <s v="RM020"/>
    <x v="1"/>
    <n v="10000000"/>
    <n v="0.22"/>
    <n v="18"/>
    <d v="2024-05-08T00:00:00"/>
    <x v="0"/>
    <x v="5"/>
    <s v="Wale Akinwale"/>
    <n v="50000000"/>
    <s v="NORMAL"/>
  </r>
  <r>
    <s v="LN00378"/>
    <s v="CUS0211"/>
    <s v="BR002"/>
    <s v="RM004"/>
    <x v="2"/>
    <n v="5000000"/>
    <n v="0.18"/>
    <n v="24"/>
    <d v="2024-11-22T00:00:00"/>
    <x v="0"/>
    <x v="6"/>
    <s v="Gbenga Adesanya"/>
    <n v="30000000"/>
    <s v="NORMAL"/>
  </r>
  <r>
    <s v="LN00162"/>
    <s v="CUS0085"/>
    <s v="BR004"/>
    <s v="RM007"/>
    <x v="0"/>
    <n v="2000000"/>
    <n v="0.16"/>
    <n v="18"/>
    <d v="2024-06-24T00:00:00"/>
    <x v="2"/>
    <x v="2"/>
    <s v="Josephine Eze"/>
    <n v="30000000"/>
    <s v="NORMAL"/>
  </r>
  <r>
    <s v="LN00085"/>
    <s v="CUS0052"/>
    <s v="BR008"/>
    <s v="RM016"/>
    <x v="0"/>
    <n v="2000000"/>
    <n v="0.18"/>
    <n v="24"/>
    <d v="2024-07-07T00:00:00"/>
    <x v="0"/>
    <x v="4"/>
    <s v="Segun Bankole"/>
    <n v="40000000"/>
    <s v="NORMAL"/>
  </r>
  <r>
    <s v="LN00224"/>
    <s v="CUS0176"/>
    <s v="BR007"/>
    <s v="RM013"/>
    <x v="0"/>
    <n v="750000"/>
    <n v="0.24"/>
    <n v="36"/>
    <d v="2024-01-20T00:00:00"/>
    <x v="0"/>
    <x v="1"/>
    <s v="Patience Uche"/>
    <n v="40000000"/>
    <s v="NORMAL"/>
  </r>
  <r>
    <s v="LN00484"/>
    <s v="CUS0074"/>
    <s v="BR009"/>
    <s v="RM017"/>
    <x v="1"/>
    <n v="2000000"/>
    <n v="0.18"/>
    <n v="24"/>
    <d v="2024-05-02T00:00:00"/>
    <x v="2"/>
    <x v="3"/>
    <s v="Tunde Fashola"/>
    <n v="60000000"/>
    <s v="NORMAL"/>
  </r>
  <r>
    <s v="LN00265"/>
    <s v="CUS0121"/>
    <s v="BR006"/>
    <s v="RM011"/>
    <x v="1"/>
    <n v="7500000"/>
    <n v="0.22"/>
    <n v="18"/>
    <d v="2024-01-05T00:00:00"/>
    <x v="0"/>
    <x v="9"/>
    <s v="Ngozi Chukwu"/>
    <n v="75000000"/>
    <s v="NORMAL"/>
  </r>
  <r>
    <s v="LN00136"/>
    <s v="CUS0248"/>
    <s v="BR007"/>
    <s v="RM013"/>
    <x v="2"/>
    <n v="1500000"/>
    <n v="0.2"/>
    <n v="24"/>
    <d v="2024-09-19T00:00:00"/>
    <x v="0"/>
    <x v="1"/>
    <s v="Patience Uche"/>
    <n v="40000000"/>
    <s v="NORMAL"/>
  </r>
  <r>
    <s v="LN00390"/>
    <s v="CUS0115"/>
    <s v="BR004"/>
    <s v="RM008"/>
    <x v="2"/>
    <n v="1000000"/>
    <n v="0.16"/>
    <n v="6"/>
    <d v="2024-12-06T00:00:00"/>
    <x v="2"/>
    <x v="2"/>
    <s v="Kingsley Obi"/>
    <n v="30000000"/>
    <s v="NORMAL"/>
  </r>
  <r>
    <s v="LN00314"/>
    <s v="CUS0080"/>
    <s v="BR009"/>
    <s v="RM018"/>
    <x v="1"/>
    <n v="10000000"/>
    <n v="0.22"/>
    <n v="12"/>
    <d v="2024-12-01T00:00:00"/>
    <x v="1"/>
    <x v="3"/>
    <s v="Uche Ikenna"/>
    <n v="50000000"/>
    <s v="HIGH RISK"/>
  </r>
  <r>
    <s v="LN00480"/>
    <s v="CUS0204"/>
    <s v="BR008"/>
    <s v="RM016"/>
    <x v="2"/>
    <n v="2000000"/>
    <n v="0.2"/>
    <n v="24"/>
    <d v="2024-12-05T00:00:00"/>
    <x v="2"/>
    <x v="4"/>
    <s v="Segun Bankole"/>
    <n v="40000000"/>
    <s v="NORMAL"/>
  </r>
  <r>
    <s v="LN00497"/>
    <s v="CUS0035"/>
    <s v="BR009"/>
    <s v="RM018"/>
    <x v="2"/>
    <n v="1500000"/>
    <n v="0.2"/>
    <n v="36"/>
    <d v="2024-02-12T00:00:00"/>
    <x v="2"/>
    <x v="3"/>
    <s v="Uche Ikenna"/>
    <n v="50000000"/>
    <s v="NORMAL"/>
  </r>
  <r>
    <s v="LN00185"/>
    <s v="CUS0245"/>
    <s v="BR010"/>
    <s v="RM019"/>
    <x v="1"/>
    <n v="10000000"/>
    <n v="0.2"/>
    <n v="12"/>
    <d v="2024-11-13T00:00:00"/>
    <x v="1"/>
    <x v="5"/>
    <s v="Vivian Osei"/>
    <n v="40000000"/>
    <s v="HIGH RISK"/>
  </r>
  <r>
    <s v="LN00144"/>
    <s v="CUS0143"/>
    <s v="BR002"/>
    <s v="RM003"/>
    <x v="2"/>
    <n v="750000"/>
    <n v="0.2"/>
    <n v="36"/>
    <d v="2024-04-03T00:00:00"/>
    <x v="1"/>
    <x v="6"/>
    <s v="Funmi Adeyemi"/>
    <n v="40000000"/>
    <s v="AT RISK"/>
  </r>
  <r>
    <s v="LN00256"/>
    <s v="CUS0038"/>
    <s v="BR005"/>
    <s v="RM010"/>
    <x v="2"/>
    <n v="3000000"/>
    <n v="0.24"/>
    <n v="36"/>
    <d v="2024-07-26T00:00:00"/>
    <x v="2"/>
    <x v="0"/>
    <s v="Musa Garba"/>
    <n v="75000000"/>
    <s v="NORMAL"/>
  </r>
  <r>
    <s v="LN00066"/>
    <s v="CUS0123"/>
    <s v="BR007"/>
    <s v="RM014"/>
    <x v="2"/>
    <n v="1500000"/>
    <n v="0.22"/>
    <n v="6"/>
    <d v="2024-01-05T00:00:00"/>
    <x v="0"/>
    <x v="1"/>
    <s v="Qudus Suleiman"/>
    <n v="75000000"/>
    <s v="NORMAL"/>
  </r>
  <r>
    <s v="LN00023"/>
    <s v="CUS0102"/>
    <s v="BR007"/>
    <s v="RM014"/>
    <x v="2"/>
    <n v="1000000"/>
    <n v="0.24"/>
    <n v="24"/>
    <d v="2024-12-12T00:00:00"/>
    <x v="2"/>
    <x v="1"/>
    <s v="Qudus Suleiman"/>
    <n v="75000000"/>
    <s v="NORMAL"/>
  </r>
  <r>
    <s v="LN00161"/>
    <s v="CUS0219"/>
    <s v="BR009"/>
    <s v="RM018"/>
    <x v="0"/>
    <n v="3000000"/>
    <n v="0.16"/>
    <n v="6"/>
    <d v="2024-01-24T00:00:00"/>
    <x v="2"/>
    <x v="3"/>
    <s v="Uche Ikenna"/>
    <n v="50000000"/>
    <s v="NORMAL"/>
  </r>
  <r>
    <s v="LN00060"/>
    <s v="CUS0226"/>
    <s v="BR006"/>
    <s v="RM012"/>
    <x v="2"/>
    <n v="10000000"/>
    <n v="0.2"/>
    <n v="24"/>
    <d v="2024-09-06T00:00:00"/>
    <x v="2"/>
    <x v="9"/>
    <s v="Obinna Nwachukwu"/>
    <n v="75000000"/>
    <s v="NORMAL"/>
  </r>
  <r>
    <s v="LN00421"/>
    <s v="CUS0243"/>
    <s v="BR002"/>
    <s v="RM004"/>
    <x v="1"/>
    <n v="500000"/>
    <n v="0.2"/>
    <n v="24"/>
    <d v="2024-11-12T00:00:00"/>
    <x v="2"/>
    <x v="6"/>
    <s v="Gbenga Adesanya"/>
    <n v="30000000"/>
    <s v="NORMAL"/>
  </r>
  <r>
    <s v="LN00073"/>
    <s v="CUS0093"/>
    <s v="BR006"/>
    <s v="RM012"/>
    <x v="0"/>
    <n v="5000000"/>
    <n v="0.24"/>
    <n v="24"/>
    <d v="2024-07-06T00:00:00"/>
    <x v="2"/>
    <x v="9"/>
    <s v="Obinna Nwachukwu"/>
    <n v="75000000"/>
    <s v="NORMAL"/>
  </r>
  <r>
    <s v="LN00222"/>
    <s v="CUS0213"/>
    <s v="BR010"/>
    <s v="RM019"/>
    <x v="0"/>
    <n v="1000000"/>
    <n v="0.18"/>
    <n v="36"/>
    <d v="2024-12-03T00:00:00"/>
    <x v="2"/>
    <x v="5"/>
    <s v="Vivian Osei"/>
    <n v="40000000"/>
    <s v="NORMAL"/>
  </r>
  <r>
    <s v="LN00272"/>
    <s v="CUS0199"/>
    <s v="BR003"/>
    <s v="RM005"/>
    <x v="0"/>
    <n v="10000000"/>
    <n v="0.18"/>
    <n v="18"/>
    <d v="2024-07-14T00:00:00"/>
    <x v="2"/>
    <x v="7"/>
    <s v="Halima Musa"/>
    <n v="75000000"/>
    <s v="NORMAL"/>
  </r>
  <r>
    <s v="LN00496"/>
    <s v="CUS0187"/>
    <s v="BR002"/>
    <s v="RM003"/>
    <x v="1"/>
    <n v="3000000"/>
    <n v="0.16"/>
    <n v="6"/>
    <d v="2024-11-24T00:00:00"/>
    <x v="0"/>
    <x v="6"/>
    <s v="Funmi Adeyemi"/>
    <n v="40000000"/>
    <s v="NORMAL"/>
  </r>
  <r>
    <s v="LN00163"/>
    <s v="CUS0070"/>
    <s v="BR008"/>
    <s v="RM015"/>
    <x v="0"/>
    <n v="7500000"/>
    <n v="0.18"/>
    <n v="6"/>
    <d v="2024-03-08T00:00:00"/>
    <x v="2"/>
    <x v="4"/>
    <s v="Rita Okonkwo"/>
    <n v="30000000"/>
    <s v="NORMAL"/>
  </r>
  <r>
    <s v="LN00046"/>
    <s v="CUS0224"/>
    <s v="BR006"/>
    <s v="RM012"/>
    <x v="1"/>
    <n v="3000000"/>
    <n v="0.22"/>
    <n v="6"/>
    <d v="2024-05-14T00:00:00"/>
    <x v="0"/>
    <x v="9"/>
    <s v="Obinna Nwachukwu"/>
    <n v="75000000"/>
    <s v="NORMAL"/>
  </r>
  <r>
    <s v="LN00426"/>
    <s v="CUS0020"/>
    <s v="BR002"/>
    <s v="RM003"/>
    <x v="2"/>
    <n v="2000000"/>
    <n v="0.18"/>
    <n v="24"/>
    <d v="2024-03-18T00:00:00"/>
    <x v="0"/>
    <x v="6"/>
    <s v="Funmi Adeyemi"/>
    <n v="40000000"/>
    <s v="NORMAL"/>
  </r>
  <r>
    <s v="LN00240"/>
    <s v="CUS0248"/>
    <s v="BR007"/>
    <s v="RM013"/>
    <x v="0"/>
    <n v="7500000"/>
    <n v="0.2"/>
    <n v="24"/>
    <d v="2024-12-14T00:00:00"/>
    <x v="0"/>
    <x v="1"/>
    <s v="Patience Uche"/>
    <n v="40000000"/>
    <s v="NORMAL"/>
  </r>
  <r>
    <s v="LN00174"/>
    <s v="CUS0127"/>
    <s v="BR006"/>
    <s v="RM011"/>
    <x v="2"/>
    <n v="5000000"/>
    <n v="0.24"/>
    <n v="12"/>
    <d v="2024-04-06T00:00:00"/>
    <x v="1"/>
    <x v="9"/>
    <s v="Ngozi Chukwu"/>
    <n v="75000000"/>
    <s v="HIGH RISK"/>
  </r>
  <r>
    <s v="LN00253"/>
    <s v="CUS0177"/>
    <s v="BR002"/>
    <s v="RM003"/>
    <x v="2"/>
    <n v="1500000"/>
    <n v="0.22"/>
    <n v="6"/>
    <d v="2024-08-18T00:00:00"/>
    <x v="2"/>
    <x v="6"/>
    <s v="Funmi Adeyemi"/>
    <n v="40000000"/>
    <s v="NORMAL"/>
  </r>
  <r>
    <s v="LN00258"/>
    <s v="CUS0192"/>
    <s v="BR006"/>
    <s v="RM012"/>
    <x v="1"/>
    <n v="7500000"/>
    <n v="0.18"/>
    <n v="6"/>
    <d v="2024-03-05T00:00:00"/>
    <x v="0"/>
    <x v="9"/>
    <s v="Obinna Nwachukwu"/>
    <n v="75000000"/>
    <s v="NORMAL"/>
  </r>
  <r>
    <s v="LN00087"/>
    <s v="CUS0003"/>
    <s v="BR004"/>
    <s v="RM008"/>
    <x v="0"/>
    <n v="5000000"/>
    <n v="0.2"/>
    <n v="6"/>
    <d v="2024-04-15T00:00:00"/>
    <x v="2"/>
    <x v="2"/>
    <s v="Kingsley Obi"/>
    <n v="30000000"/>
    <s v="NORMAL"/>
  </r>
  <r>
    <s v="LN00092"/>
    <s v="CUS0054"/>
    <s v="BR009"/>
    <s v="RM018"/>
    <x v="0"/>
    <n v="7500000"/>
    <n v="0.16"/>
    <n v="6"/>
    <d v="2024-03-21T00:00:00"/>
    <x v="2"/>
    <x v="3"/>
    <s v="Uche Ikenna"/>
    <n v="50000000"/>
    <s v="NORMAL"/>
  </r>
  <r>
    <s v="LN00298"/>
    <s v="CUS0057"/>
    <s v="BR003"/>
    <s v="RM005"/>
    <x v="2"/>
    <n v="5000000"/>
    <n v="0.24"/>
    <n v="36"/>
    <d v="2024-09-15T00:00:00"/>
    <x v="2"/>
    <x v="7"/>
    <s v="Halima Musa"/>
    <n v="75000000"/>
    <s v="NORMAL"/>
  </r>
  <r>
    <s v="LN00022"/>
    <s v="CUS0231"/>
    <s v="BR003"/>
    <s v="RM006"/>
    <x v="1"/>
    <n v="500000"/>
    <n v="0.2"/>
    <n v="6"/>
    <d v="2024-04-16T00:00:00"/>
    <x v="0"/>
    <x v="7"/>
    <s v="Ibrahim Bello"/>
    <n v="75000000"/>
    <s v="NORMAL"/>
  </r>
  <r>
    <s v="LN00287"/>
    <s v="CUS0056"/>
    <s v="BR008"/>
    <s v="RM015"/>
    <x v="1"/>
    <n v="750000"/>
    <n v="0.24"/>
    <n v="24"/>
    <d v="2024-04-07T00:00:00"/>
    <x v="0"/>
    <x v="4"/>
    <s v="Rita Okonkwo"/>
    <n v="30000000"/>
    <s v="NORMAL"/>
  </r>
  <r>
    <s v="LN00068"/>
    <s v="CUS0098"/>
    <s v="BR004"/>
    <s v="RM007"/>
    <x v="2"/>
    <n v="1000000"/>
    <n v="0.24"/>
    <n v="6"/>
    <d v="2024-11-08T00:00:00"/>
    <x v="2"/>
    <x v="2"/>
    <s v="Josephine Eze"/>
    <n v="30000000"/>
    <s v="NORMAL"/>
  </r>
  <r>
    <s v="LN00474"/>
    <s v="CUS0015"/>
    <s v="BR003"/>
    <s v="RM005"/>
    <x v="1"/>
    <n v="1500000"/>
    <n v="0.2"/>
    <n v="36"/>
    <d v="2024-02-13T00:00:00"/>
    <x v="2"/>
    <x v="7"/>
    <s v="Halima Musa"/>
    <n v="75000000"/>
    <s v="NORMAL"/>
  </r>
  <r>
    <s v="LN00203"/>
    <s v="CUS0048"/>
    <s v="BR010"/>
    <s v="RM020"/>
    <x v="2"/>
    <n v="2000000"/>
    <n v="0.18"/>
    <n v="36"/>
    <d v="2024-01-28T00:00:00"/>
    <x v="1"/>
    <x v="5"/>
    <s v="Wale Akinwale"/>
    <n v="50000000"/>
    <s v="AT RISK"/>
  </r>
  <r>
    <s v="LN00155"/>
    <s v="CUS0168"/>
    <s v="BR007"/>
    <s v="RM014"/>
    <x v="2"/>
    <n v="750000"/>
    <n v="0.22"/>
    <n v="6"/>
    <d v="2024-10-07T00:00:00"/>
    <x v="0"/>
    <x v="1"/>
    <s v="Qudus Suleiman"/>
    <n v="75000000"/>
    <s v="NORMAL"/>
  </r>
  <r>
    <s v="LN00499"/>
    <s v="CUS0152"/>
    <s v="BR007"/>
    <s v="RM014"/>
    <x v="0"/>
    <n v="1500000"/>
    <n v="0.2"/>
    <n v="12"/>
    <d v="2024-07-20T00:00:00"/>
    <x v="1"/>
    <x v="1"/>
    <s v="Qudus Suleiman"/>
    <n v="75000000"/>
    <s v="AT RISK"/>
  </r>
  <r>
    <s v="LN00318"/>
    <s v="CUS0217"/>
    <s v="BR008"/>
    <s v="RM015"/>
    <x v="1"/>
    <n v="3000000"/>
    <n v="0.22"/>
    <n v="24"/>
    <d v="2024-08-30T00:00:00"/>
    <x v="2"/>
    <x v="4"/>
    <s v="Rita Okonkwo"/>
    <n v="30000000"/>
    <s v="NORMAL"/>
  </r>
  <r>
    <s v="LN00259"/>
    <s v="CUS0180"/>
    <s v="BR001"/>
    <s v="RM002"/>
    <x v="1"/>
    <n v="1500000"/>
    <n v="0.16"/>
    <n v="6"/>
    <d v="2024-02-02T00:00:00"/>
    <x v="0"/>
    <x v="8"/>
    <s v="Emeka Nwosu"/>
    <n v="50000000"/>
    <s v="NORMAL"/>
  </r>
  <r>
    <s v="LN00130"/>
    <s v="CUS0216"/>
    <s v="BR003"/>
    <s v="RM006"/>
    <x v="0"/>
    <n v="750000"/>
    <n v="0.18"/>
    <n v="12"/>
    <d v="2024-06-02T00:00:00"/>
    <x v="2"/>
    <x v="7"/>
    <s v="Ibrahim Bello"/>
    <n v="75000000"/>
    <s v="NORMAL"/>
  </r>
  <r>
    <s v="LN00003"/>
    <s v="CUS0061"/>
    <s v="BR003"/>
    <s v="RM006"/>
    <x v="0"/>
    <n v="10000000"/>
    <n v="0.2"/>
    <n v="18"/>
    <d v="2024-02-01T00:00:00"/>
    <x v="0"/>
    <x v="7"/>
    <s v="Ibrahim Bello"/>
    <n v="75000000"/>
    <s v="NORMAL"/>
  </r>
  <r>
    <s v="LN00024"/>
    <s v="CUS0036"/>
    <s v="BR006"/>
    <s v="RM011"/>
    <x v="1"/>
    <n v="750000"/>
    <n v="0.2"/>
    <n v="6"/>
    <d v="2024-02-20T00:00:00"/>
    <x v="0"/>
    <x v="9"/>
    <s v="Ngozi Chukwu"/>
    <n v="75000000"/>
    <s v="NORMAL"/>
  </r>
  <r>
    <s v="LN00415"/>
    <s v="CUS0084"/>
    <s v="BR008"/>
    <s v="RM016"/>
    <x v="0"/>
    <n v="1500000"/>
    <n v="0.24"/>
    <n v="12"/>
    <d v="2024-10-20T00:00:00"/>
    <x v="2"/>
    <x v="4"/>
    <s v="Segun Bankole"/>
    <n v="40000000"/>
    <s v="NORMAL"/>
  </r>
  <r>
    <s v="LN00384"/>
    <s v="CUS0115"/>
    <s v="BR004"/>
    <s v="RM008"/>
    <x v="0"/>
    <n v="2000000"/>
    <n v="0.16"/>
    <n v="6"/>
    <d v="2024-11-13T00:00:00"/>
    <x v="1"/>
    <x v="2"/>
    <s v="Kingsley Obi"/>
    <n v="30000000"/>
    <s v="AT RISK"/>
  </r>
  <r>
    <s v="LN00364"/>
    <s v="CUS0131"/>
    <s v="BR009"/>
    <s v="RM017"/>
    <x v="0"/>
    <n v="2000000"/>
    <n v="0.24"/>
    <n v="6"/>
    <d v="2024-01-01T00:00:00"/>
    <x v="0"/>
    <x v="3"/>
    <s v="Tunde Fashola"/>
    <n v="60000000"/>
    <s v="NORMAL"/>
  </r>
  <r>
    <s v="LN00307"/>
    <s v="CUS0159"/>
    <s v="BR009"/>
    <s v="RM017"/>
    <x v="0"/>
    <n v="7500000"/>
    <n v="0.16"/>
    <n v="6"/>
    <d v="2024-07-17T00:00:00"/>
    <x v="0"/>
    <x v="3"/>
    <s v="Tunde Fashola"/>
    <n v="60000000"/>
    <s v="NORMAL"/>
  </r>
  <r>
    <s v="LN00411"/>
    <s v="CUS0014"/>
    <s v="BR004"/>
    <s v="RM007"/>
    <x v="0"/>
    <n v="1500000"/>
    <n v="0.22"/>
    <n v="12"/>
    <d v="2024-07-17T00:00:00"/>
    <x v="0"/>
    <x v="2"/>
    <s v="Josephine Eze"/>
    <n v="30000000"/>
    <s v="NORMAL"/>
  </r>
  <r>
    <s v="LN00344"/>
    <s v="CUS0147"/>
    <s v="BR007"/>
    <s v="RM013"/>
    <x v="1"/>
    <n v="1000000"/>
    <n v="0.2"/>
    <n v="18"/>
    <d v="2024-12-29T00:00:00"/>
    <x v="2"/>
    <x v="1"/>
    <s v="Patience Uche"/>
    <n v="40000000"/>
    <s v="NORMAL"/>
  </r>
  <r>
    <s v="LN00311"/>
    <s v="CUS0129"/>
    <s v="BR002"/>
    <s v="RM003"/>
    <x v="0"/>
    <n v="2000000"/>
    <n v="0.16"/>
    <n v="36"/>
    <d v="2024-05-23T00:00:00"/>
    <x v="2"/>
    <x v="6"/>
    <s v="Funmi Adeyemi"/>
    <n v="40000000"/>
    <s v="NORMAL"/>
  </r>
  <r>
    <s v="LN00182"/>
    <s v="CUS0028"/>
    <s v="BR010"/>
    <s v="RM019"/>
    <x v="2"/>
    <n v="1000000"/>
    <n v="0.16"/>
    <n v="12"/>
    <d v="2024-05-16T00:00:00"/>
    <x v="2"/>
    <x v="5"/>
    <s v="Vivian Osei"/>
    <n v="40000000"/>
    <s v="NORMAL"/>
  </r>
  <r>
    <s v="LN00242"/>
    <s v="CUS0180"/>
    <s v="BR001"/>
    <s v="RM002"/>
    <x v="0"/>
    <n v="2000000"/>
    <n v="0.2"/>
    <n v="6"/>
    <d v="2024-10-10T00:00:00"/>
    <x v="0"/>
    <x v="8"/>
    <s v="Emeka Nwosu"/>
    <n v="50000000"/>
    <s v="NORMAL"/>
  </r>
  <r>
    <s v="LN00479"/>
    <s v="CUS0024"/>
    <s v="BR008"/>
    <s v="RM015"/>
    <x v="1"/>
    <n v="750000"/>
    <n v="0.2"/>
    <n v="6"/>
    <d v="2024-10-17T00:00:00"/>
    <x v="0"/>
    <x v="4"/>
    <s v="Rita Okonkwo"/>
    <n v="30000000"/>
    <s v="NORMAL"/>
  </r>
  <r>
    <s v="LN00171"/>
    <s v="CUS0024"/>
    <s v="BR008"/>
    <s v="RM015"/>
    <x v="1"/>
    <n v="2000000"/>
    <n v="0.24"/>
    <n v="12"/>
    <d v="2024-12-01T00:00:00"/>
    <x v="1"/>
    <x v="4"/>
    <s v="Rita Okonkwo"/>
    <n v="30000000"/>
    <s v="AT RISK"/>
  </r>
  <r>
    <s v="LN00027"/>
    <s v="CUS0019"/>
    <s v="BR004"/>
    <s v="RM007"/>
    <x v="2"/>
    <n v="1000000"/>
    <n v="0.18"/>
    <n v="24"/>
    <d v="2024-06-11T00:00:00"/>
    <x v="2"/>
    <x v="2"/>
    <s v="Josephine Eze"/>
    <n v="30000000"/>
    <s v="NORMAL"/>
  </r>
  <r>
    <s v="LN00031"/>
    <s v="CUS0043"/>
    <s v="BR006"/>
    <s v="RM012"/>
    <x v="0"/>
    <n v="5000000"/>
    <n v="0.16"/>
    <n v="18"/>
    <d v="2024-05-08T00:00:00"/>
    <x v="0"/>
    <x v="9"/>
    <s v="Obinna Nwachukwu"/>
    <n v="75000000"/>
    <s v="NORMAL"/>
  </r>
  <r>
    <s v="LN00286"/>
    <s v="CUS0107"/>
    <s v="BR010"/>
    <s v="RM019"/>
    <x v="0"/>
    <n v="500000"/>
    <n v="0.2"/>
    <n v="36"/>
    <d v="2024-01-21T00:00:00"/>
    <x v="0"/>
    <x v="5"/>
    <s v="Vivian Osei"/>
    <n v="40000000"/>
    <s v="NORMAL"/>
  </r>
  <r>
    <s v="LN00049"/>
    <s v="CUS0131"/>
    <s v="BR009"/>
    <s v="RM017"/>
    <x v="0"/>
    <n v="1000000"/>
    <n v="0.22"/>
    <n v="12"/>
    <d v="2024-09-06T00:00:00"/>
    <x v="0"/>
    <x v="3"/>
    <s v="Tunde Fashola"/>
    <n v="60000000"/>
    <s v="NORMAL"/>
  </r>
  <r>
    <s v="LN00038"/>
    <s v="CUS0180"/>
    <s v="BR001"/>
    <s v="RM002"/>
    <x v="1"/>
    <n v="750000"/>
    <n v="0.18"/>
    <n v="18"/>
    <d v="2024-03-26T00:00:00"/>
    <x v="2"/>
    <x v="8"/>
    <s v="Emeka Nwosu"/>
    <n v="50000000"/>
    <s v="NORMAL"/>
  </r>
  <r>
    <s v="LN00132"/>
    <s v="CUS0132"/>
    <s v="BR001"/>
    <s v="RM002"/>
    <x v="2"/>
    <n v="2000000"/>
    <n v="0.22"/>
    <n v="12"/>
    <d v="2024-09-25T00:00:00"/>
    <x v="2"/>
    <x v="8"/>
    <s v="Emeka Nwosu"/>
    <n v="50000000"/>
    <s v="NORMAL"/>
  </r>
  <r>
    <s v="LN00306"/>
    <s v="CUS0187"/>
    <s v="BR002"/>
    <s v="RM003"/>
    <x v="2"/>
    <n v="500000"/>
    <n v="0.24"/>
    <n v="6"/>
    <d v="2024-05-10T00:00:00"/>
    <x v="2"/>
    <x v="6"/>
    <s v="Funmi Adeyemi"/>
    <n v="40000000"/>
    <s v="NORMAL"/>
  </r>
  <r>
    <s v="LN00377"/>
    <s v="CUS0095"/>
    <s v="BR007"/>
    <s v="RM013"/>
    <x v="2"/>
    <n v="1500000"/>
    <n v="0.24"/>
    <n v="6"/>
    <d v="2024-06-24T00:00:00"/>
    <x v="1"/>
    <x v="1"/>
    <s v="Patience Uche"/>
    <n v="40000000"/>
    <s v="AT RISK"/>
  </r>
  <r>
    <s v="LN00217"/>
    <s v="CUS0124"/>
    <s v="BR008"/>
    <s v="RM016"/>
    <x v="1"/>
    <n v="10000000"/>
    <n v="0.22"/>
    <n v="12"/>
    <d v="2024-04-27T00:00:00"/>
    <x v="0"/>
    <x v="4"/>
    <s v="Segun Bankole"/>
    <n v="40000000"/>
    <s v="NORMAL"/>
  </r>
  <r>
    <s v="LN00363"/>
    <s v="CUS0053"/>
    <s v="BR003"/>
    <s v="RM006"/>
    <x v="1"/>
    <n v="2000000"/>
    <n v="0.2"/>
    <n v="24"/>
    <d v="2024-06-25T00:00:00"/>
    <x v="0"/>
    <x v="7"/>
    <s v="Ibrahim Bello"/>
    <n v="75000000"/>
    <s v="NORMAL"/>
  </r>
  <r>
    <s v="LN00197"/>
    <s v="CUS0046"/>
    <s v="BR006"/>
    <s v="RM012"/>
    <x v="0"/>
    <n v="750000"/>
    <n v="0.18"/>
    <n v="18"/>
    <d v="2024-07-27T00:00:00"/>
    <x v="0"/>
    <x v="9"/>
    <s v="Obinna Nwachukwu"/>
    <n v="75000000"/>
    <s v="NORMAL"/>
  </r>
  <r>
    <s v="LN00109"/>
    <s v="CUS0171"/>
    <s v="BR009"/>
    <s v="RM017"/>
    <x v="1"/>
    <n v="5000000"/>
    <n v="0.2"/>
    <n v="12"/>
    <d v="2024-03-31T00:00:00"/>
    <x v="1"/>
    <x v="3"/>
    <s v="Tunde Fashola"/>
    <n v="60000000"/>
    <s v="HIGH RISK"/>
  </r>
  <r>
    <s v="LN00352"/>
    <s v="CUS0087"/>
    <s v="BR008"/>
    <s v="RM015"/>
    <x v="1"/>
    <n v="500000"/>
    <n v="0.22"/>
    <n v="6"/>
    <d v="2024-02-24T00:00:00"/>
    <x v="2"/>
    <x v="4"/>
    <s v="Rita Okonkwo"/>
    <n v="30000000"/>
    <s v="NORMAL"/>
  </r>
  <r>
    <s v="LN00204"/>
    <s v="CUS0119"/>
    <s v="BR007"/>
    <s v="RM014"/>
    <x v="1"/>
    <n v="750000"/>
    <n v="0.16"/>
    <n v="18"/>
    <d v="2024-02-20T00:00:00"/>
    <x v="0"/>
    <x v="1"/>
    <s v="Qudus Suleiman"/>
    <n v="75000000"/>
    <s v="NORMAL"/>
  </r>
  <r>
    <s v="LN00355"/>
    <s v="CUS0121"/>
    <s v="BR006"/>
    <s v="RM011"/>
    <x v="2"/>
    <n v="1000000"/>
    <n v="0.24"/>
    <n v="18"/>
    <d v="2024-07-05T00:00:00"/>
    <x v="0"/>
    <x v="9"/>
    <s v="Ngozi Chukwu"/>
    <n v="75000000"/>
    <s v="NORMAL"/>
  </r>
  <r>
    <s v="LN00166"/>
    <s v="CUS0181"/>
    <s v="BR010"/>
    <s v="RM020"/>
    <x v="1"/>
    <n v="1500000"/>
    <n v="0.2"/>
    <n v="36"/>
    <d v="2024-09-24T00:00:00"/>
    <x v="0"/>
    <x v="5"/>
    <s v="Wale Akinwale"/>
    <n v="50000000"/>
    <s v="NORMAL"/>
  </r>
  <r>
    <s v="LN00447"/>
    <s v="CUS0092"/>
    <s v="BR008"/>
    <s v="RM016"/>
    <x v="2"/>
    <n v="2000000"/>
    <n v="0.2"/>
    <n v="6"/>
    <d v="2024-05-28T00:00:00"/>
    <x v="0"/>
    <x v="4"/>
    <s v="Segun Bankole"/>
    <n v="40000000"/>
    <s v="NORMAL"/>
  </r>
  <r>
    <s v="LN00069"/>
    <s v="CUS0161"/>
    <s v="BR007"/>
    <s v="RM014"/>
    <x v="1"/>
    <n v="5000000"/>
    <n v="0.22"/>
    <n v="12"/>
    <d v="2024-02-14T00:00:00"/>
    <x v="2"/>
    <x v="1"/>
    <s v="Qudus Suleiman"/>
    <n v="75000000"/>
    <s v="NORMAL"/>
  </r>
  <r>
    <s v="LN00241"/>
    <s v="CUS0030"/>
    <s v="BR006"/>
    <s v="RM011"/>
    <x v="0"/>
    <n v="5000000"/>
    <n v="0.18"/>
    <n v="12"/>
    <d v="2024-06-10T00:00:00"/>
    <x v="2"/>
    <x v="9"/>
    <s v="Ngozi Chukwu"/>
    <n v="75000000"/>
    <s v="NORMAL"/>
  </r>
  <r>
    <s v="LN00006"/>
    <s v="CUS0207"/>
    <s v="BR002"/>
    <s v="RM004"/>
    <x v="0"/>
    <n v="10000000"/>
    <n v="0.22"/>
    <n v="36"/>
    <d v="2024-09-28T00:00:00"/>
    <x v="2"/>
    <x v="6"/>
    <s v="Gbenga Adesanya"/>
    <n v="30000000"/>
    <s v="NORMAL"/>
  </r>
  <r>
    <s v="LN00044"/>
    <s v="CUS0246"/>
    <s v="BR008"/>
    <s v="RM015"/>
    <x v="0"/>
    <n v="5000000"/>
    <n v="0.18"/>
    <n v="24"/>
    <d v="2024-07-21T00:00:00"/>
    <x v="0"/>
    <x v="4"/>
    <s v="Rita Okonkwo"/>
    <n v="30000000"/>
    <s v="NORMAL"/>
  </r>
  <r>
    <s v="LN00235"/>
    <s v="CUS0169"/>
    <s v="BR004"/>
    <s v="RM007"/>
    <x v="1"/>
    <n v="1500000"/>
    <n v="0.24"/>
    <n v="36"/>
    <d v="2024-09-21T00:00:00"/>
    <x v="0"/>
    <x v="2"/>
    <s v="Josephine Eze"/>
    <n v="30000000"/>
    <s v="NORMAL"/>
  </r>
  <r>
    <s v="LN00332"/>
    <s v="CUS0219"/>
    <s v="BR009"/>
    <s v="RM018"/>
    <x v="2"/>
    <n v="2000000"/>
    <n v="0.16"/>
    <n v="6"/>
    <d v="2024-02-25T00:00:00"/>
    <x v="2"/>
    <x v="3"/>
    <s v="Uche Ikenna"/>
    <n v="50000000"/>
    <s v="NORMAL"/>
  </r>
  <r>
    <s v="LN00351"/>
    <s v="CUS0053"/>
    <s v="BR003"/>
    <s v="RM006"/>
    <x v="1"/>
    <n v="10000000"/>
    <n v="0.18"/>
    <n v="18"/>
    <d v="2024-10-20T00:00:00"/>
    <x v="2"/>
    <x v="7"/>
    <s v="Ibrahim Bello"/>
    <n v="75000000"/>
    <s v="NORMAL"/>
  </r>
  <r>
    <s v="LN00299"/>
    <s v="CUS0038"/>
    <s v="BR005"/>
    <s v="RM010"/>
    <x v="2"/>
    <n v="750000"/>
    <n v="0.16"/>
    <n v="36"/>
    <d v="2024-07-23T00:00:00"/>
    <x v="2"/>
    <x v="0"/>
    <s v="Musa Garba"/>
    <n v="75000000"/>
    <s v="NORMAL"/>
  </r>
  <r>
    <s v="LN00190"/>
    <s v="CUS0245"/>
    <s v="BR010"/>
    <s v="RM019"/>
    <x v="2"/>
    <n v="750000"/>
    <n v="0.18"/>
    <n v="24"/>
    <d v="2024-10-05T00:00:00"/>
    <x v="2"/>
    <x v="5"/>
    <s v="Vivian Osei"/>
    <n v="40000000"/>
    <s v="NORMAL"/>
  </r>
  <r>
    <s v="LN00128"/>
    <s v="CUS0122"/>
    <s v="BR003"/>
    <s v="RM005"/>
    <x v="2"/>
    <n v="2000000"/>
    <n v="0.24"/>
    <n v="36"/>
    <d v="2024-12-14T00:00:00"/>
    <x v="2"/>
    <x v="7"/>
    <s v="Halima Musa"/>
    <n v="75000000"/>
    <s v="NORMAL"/>
  </r>
  <r>
    <s v="LN00231"/>
    <s v="CUS0079"/>
    <s v="BR005"/>
    <s v="RM009"/>
    <x v="1"/>
    <n v="5000000"/>
    <n v="0.16"/>
    <n v="12"/>
    <d v="2024-08-16T00:00:00"/>
    <x v="1"/>
    <x v="0"/>
    <s v="Lara Adeleke"/>
    <n v="40000000"/>
    <s v="HIGH RISK"/>
  </r>
  <r>
    <s v="LN00121"/>
    <s v="CUS0145"/>
    <s v="BR008"/>
    <s v="RM016"/>
    <x v="2"/>
    <n v="750000"/>
    <n v="0.2"/>
    <n v="36"/>
    <d v="2024-07-30T00:00:00"/>
    <x v="0"/>
    <x v="4"/>
    <s v="Segun Bankole"/>
    <n v="40000000"/>
    <s v="NORMAL"/>
  </r>
  <r>
    <s v="LN00135"/>
    <s v="CUS0090"/>
    <s v="BR009"/>
    <s v="RM018"/>
    <x v="0"/>
    <n v="2000000"/>
    <n v="0.16"/>
    <n v="18"/>
    <d v="2024-01-15T00:00:00"/>
    <x v="2"/>
    <x v="3"/>
    <s v="Uche Ikenna"/>
    <n v="50000000"/>
    <s v="NORMAL"/>
  </r>
  <r>
    <s v="LN00149"/>
    <s v="CUS0196"/>
    <s v="BR004"/>
    <s v="RM007"/>
    <x v="2"/>
    <n v="750000"/>
    <n v="0.22"/>
    <n v="24"/>
    <d v="2024-07-25T00:00:00"/>
    <x v="0"/>
    <x v="2"/>
    <s v="Josephine Eze"/>
    <n v="30000000"/>
    <s v="NORMAL"/>
  </r>
  <r>
    <s v="LN00015"/>
    <s v="CUS0172"/>
    <s v="BR003"/>
    <s v="RM006"/>
    <x v="2"/>
    <n v="5000000"/>
    <n v="0.18"/>
    <n v="6"/>
    <d v="2024-12-28T00:00:00"/>
    <x v="2"/>
    <x v="7"/>
    <s v="Ibrahim Bello"/>
    <n v="75000000"/>
    <s v="NORMAL"/>
  </r>
  <r>
    <s v="LN00075"/>
    <s v="CUS0183"/>
    <s v="BR001"/>
    <s v="RM002"/>
    <x v="1"/>
    <n v="5000000"/>
    <n v="0.16"/>
    <n v="36"/>
    <d v="2024-10-02T00:00:00"/>
    <x v="2"/>
    <x v="8"/>
    <s v="Emeka Nwosu"/>
    <n v="50000000"/>
    <s v="NORMAL"/>
  </r>
  <r>
    <s v="LN00406"/>
    <s v="CUS0057"/>
    <s v="BR003"/>
    <s v="RM005"/>
    <x v="0"/>
    <n v="1500000"/>
    <n v="0.18"/>
    <n v="6"/>
    <d v="2024-03-17T00:00:00"/>
    <x v="1"/>
    <x v="7"/>
    <s v="Halima Musa"/>
    <n v="75000000"/>
    <s v="AT RISK"/>
  </r>
  <r>
    <s v="LN00210"/>
    <s v="CUS0152"/>
    <s v="BR007"/>
    <s v="RM014"/>
    <x v="2"/>
    <n v="10000000"/>
    <n v="0.24"/>
    <n v="24"/>
    <d v="2024-11-30T00:00:00"/>
    <x v="2"/>
    <x v="1"/>
    <s v="Qudus Suleiman"/>
    <n v="75000000"/>
    <s v="NORMAL"/>
  </r>
  <r>
    <s v="LN00093"/>
    <s v="CUS0155"/>
    <s v="BR008"/>
    <s v="RM016"/>
    <x v="2"/>
    <n v="3000000"/>
    <n v="0.18"/>
    <n v="18"/>
    <d v="2024-07-21T00:00:00"/>
    <x v="0"/>
    <x v="4"/>
    <s v="Segun Bankole"/>
    <n v="40000000"/>
    <s v="NORMAL"/>
  </r>
  <r>
    <s v="LN00215"/>
    <s v="CUS0134"/>
    <s v="BR005"/>
    <s v="RM010"/>
    <x v="1"/>
    <n v="2000000"/>
    <n v="0.24"/>
    <n v="12"/>
    <d v="2024-07-11T00:00:00"/>
    <x v="2"/>
    <x v="0"/>
    <s v="Musa Garba"/>
    <n v="75000000"/>
    <s v="NORMAL"/>
  </r>
  <r>
    <s v="LN00097"/>
    <s v="CUS0011"/>
    <s v="BR002"/>
    <s v="RM004"/>
    <x v="0"/>
    <n v="1000000"/>
    <n v="0.22"/>
    <n v="24"/>
    <d v="2024-09-11T00:00:00"/>
    <x v="0"/>
    <x v="6"/>
    <s v="Gbenga Adesanya"/>
    <n v="30000000"/>
    <s v="NORMAL"/>
  </r>
  <r>
    <s v="LN00347"/>
    <s v="CUS0080"/>
    <s v="BR009"/>
    <s v="RM018"/>
    <x v="0"/>
    <n v="750000"/>
    <n v="0.24"/>
    <n v="12"/>
    <d v="2024-04-15T00:00:00"/>
    <x v="0"/>
    <x v="3"/>
    <s v="Uche Ikenna"/>
    <n v="50000000"/>
    <s v="NORMAL"/>
  </r>
  <r>
    <s v="LN00373"/>
    <s v="CUS0003"/>
    <s v="BR004"/>
    <s v="RM008"/>
    <x v="0"/>
    <n v="10000000"/>
    <n v="0.24"/>
    <n v="18"/>
    <d v="2024-08-03T00:00:00"/>
    <x v="1"/>
    <x v="2"/>
    <s v="Kingsley Obi"/>
    <n v="30000000"/>
    <s v="HIGH RISK"/>
  </r>
  <r>
    <s v="LN00145"/>
    <s v="CUS0057"/>
    <s v="BR003"/>
    <s v="RM005"/>
    <x v="0"/>
    <n v="2000000"/>
    <n v="0.2"/>
    <n v="18"/>
    <d v="2024-05-13T00:00:00"/>
    <x v="0"/>
    <x v="7"/>
    <s v="Halima Musa"/>
    <n v="75000000"/>
    <s v="NORMAL"/>
  </r>
  <r>
    <s v="LN00422"/>
    <s v="CUS0181"/>
    <s v="BR010"/>
    <s v="RM020"/>
    <x v="2"/>
    <n v="1500000"/>
    <n v="0.2"/>
    <n v="12"/>
    <d v="2024-10-03T00:00:00"/>
    <x v="0"/>
    <x v="5"/>
    <s v="Wale Akinwale"/>
    <n v="50000000"/>
    <s v="NORMAL"/>
  </r>
  <r>
    <s v="LN00111"/>
    <s v="CUS0191"/>
    <s v="BR010"/>
    <s v="RM019"/>
    <x v="2"/>
    <n v="3000000"/>
    <n v="0.18"/>
    <n v="6"/>
    <d v="2024-12-28T00:00:00"/>
    <x v="0"/>
    <x v="5"/>
    <s v="Vivian Osei"/>
    <n v="40000000"/>
    <s v="NORMAL"/>
  </r>
  <r>
    <s v="LN00106"/>
    <s v="CUS0001"/>
    <s v="BR010"/>
    <s v="RM020"/>
    <x v="0"/>
    <n v="1500000"/>
    <n v="0.2"/>
    <n v="12"/>
    <d v="2024-06-14T00:00:00"/>
    <x v="2"/>
    <x v="5"/>
    <s v="Wale Akinwale"/>
    <n v="50000000"/>
    <s v="NORMAL"/>
  </r>
  <r>
    <s v="LN00439"/>
    <s v="CUS0115"/>
    <s v="BR004"/>
    <s v="RM008"/>
    <x v="1"/>
    <n v="1500000"/>
    <n v="0.22"/>
    <n v="24"/>
    <d v="2024-08-14T00:00:00"/>
    <x v="0"/>
    <x v="2"/>
    <s v="Kingsley Obi"/>
    <n v="30000000"/>
    <s v="NORMAL"/>
  </r>
  <r>
    <s v="LN00221"/>
    <s v="CUS0185"/>
    <s v="BR007"/>
    <s v="RM014"/>
    <x v="1"/>
    <n v="2000000"/>
    <n v="0.18"/>
    <n v="24"/>
    <d v="2024-11-06T00:00:00"/>
    <x v="1"/>
    <x v="1"/>
    <s v="Qudus Suleiman"/>
    <n v="75000000"/>
    <s v="AT RISK"/>
  </r>
  <r>
    <s v="LN00067"/>
    <s v="CUS0109"/>
    <s v="BR006"/>
    <s v="RM012"/>
    <x v="1"/>
    <n v="7500000"/>
    <n v="0.22"/>
    <n v="6"/>
    <d v="2024-02-22T00:00:00"/>
    <x v="2"/>
    <x v="9"/>
    <s v="Obinna Nwachukwu"/>
    <n v="75000000"/>
    <s v="NORMAL"/>
  </r>
  <r>
    <s v="LN00196"/>
    <s v="CUS0180"/>
    <s v="BR001"/>
    <s v="RM002"/>
    <x v="1"/>
    <n v="750000"/>
    <n v="0.18"/>
    <n v="6"/>
    <d v="2024-08-23T00:00:00"/>
    <x v="2"/>
    <x v="8"/>
    <s v="Emeka Nwosu"/>
    <n v="50000000"/>
    <s v="NORMAL"/>
  </r>
  <r>
    <s v="LN00254"/>
    <s v="CUS0143"/>
    <s v="BR002"/>
    <s v="RM003"/>
    <x v="0"/>
    <n v="500000"/>
    <n v="0.2"/>
    <n v="36"/>
    <d v="2024-04-11T00:00:00"/>
    <x v="0"/>
    <x v="6"/>
    <s v="Funmi Adeyemi"/>
    <n v="40000000"/>
    <s v="NORMAL"/>
  </r>
  <r>
    <s v="LN00383"/>
    <s v="CUS0050"/>
    <s v="BR009"/>
    <s v="RM018"/>
    <x v="1"/>
    <n v="1000000"/>
    <n v="0.16"/>
    <n v="6"/>
    <d v="2024-02-04T00:00:00"/>
    <x v="2"/>
    <x v="3"/>
    <s v="Uche Ikenna"/>
    <n v="50000000"/>
    <s v="NORMAL"/>
  </r>
  <r>
    <s v="LN00148"/>
    <s v="CUS0125"/>
    <s v="BR006"/>
    <s v="RM011"/>
    <x v="0"/>
    <n v="1000000"/>
    <n v="0.16"/>
    <n v="6"/>
    <d v="2024-08-19T00:00:00"/>
    <x v="0"/>
    <x v="9"/>
    <s v="Ngozi Chukwu"/>
    <n v="75000000"/>
    <s v="NORMAL"/>
  </r>
  <r>
    <s v="LN00137"/>
    <s v="CUS0003"/>
    <s v="BR004"/>
    <s v="RM008"/>
    <x v="0"/>
    <n v="1000000"/>
    <n v="0.16"/>
    <n v="12"/>
    <d v="2024-05-09T00:00:00"/>
    <x v="1"/>
    <x v="2"/>
    <s v="Kingsley Obi"/>
    <n v="30000000"/>
    <s v="AT RISK"/>
  </r>
  <r>
    <s v="LN00401"/>
    <s v="CUS0215"/>
    <s v="BR006"/>
    <s v="RM012"/>
    <x v="2"/>
    <n v="1000000"/>
    <n v="0.16"/>
    <n v="18"/>
    <d v="2024-03-13T00:00:00"/>
    <x v="2"/>
    <x v="9"/>
    <s v="Obinna Nwachukwu"/>
    <n v="75000000"/>
    <s v="NORMAL"/>
  </r>
  <r>
    <s v="LN00417"/>
    <s v="CUS0143"/>
    <s v="BR002"/>
    <s v="RM003"/>
    <x v="2"/>
    <n v="5000000"/>
    <n v="0.18"/>
    <n v="18"/>
    <d v="2024-05-31T00:00:00"/>
    <x v="1"/>
    <x v="6"/>
    <s v="Funmi Adeyemi"/>
    <n v="40000000"/>
    <s v="HIGH RISK"/>
  </r>
  <r>
    <s v="LN00442"/>
    <s v="CUS0235"/>
    <s v="BR004"/>
    <s v="RM007"/>
    <x v="2"/>
    <n v="1000000"/>
    <n v="0.2"/>
    <n v="36"/>
    <d v="2024-09-08T00:00:00"/>
    <x v="0"/>
    <x v="2"/>
    <s v="Josephine Eze"/>
    <n v="30000000"/>
    <s v="NORMAL"/>
  </r>
  <r>
    <s v="LN00098"/>
    <s v="CUS0055"/>
    <s v="BR008"/>
    <s v="RM016"/>
    <x v="2"/>
    <n v="2000000"/>
    <n v="0.18"/>
    <n v="6"/>
    <d v="2024-11-10T00:00:00"/>
    <x v="2"/>
    <x v="4"/>
    <s v="Segun Bankole"/>
    <n v="40000000"/>
    <s v="NORMAL"/>
  </r>
  <r>
    <s v="LN00105"/>
    <s v="CUS0249"/>
    <s v="BR007"/>
    <s v="RM014"/>
    <x v="0"/>
    <n v="2000000"/>
    <n v="0.16"/>
    <n v="6"/>
    <d v="2024-01-29T00:00:00"/>
    <x v="2"/>
    <x v="1"/>
    <s v="Qudus Suleiman"/>
    <n v="75000000"/>
    <s v="NORMAL"/>
  </r>
  <r>
    <s v="LN00366"/>
    <s v="CUS0140"/>
    <s v="BR002"/>
    <s v="RM004"/>
    <x v="2"/>
    <n v="1000000"/>
    <n v="0.18"/>
    <n v="36"/>
    <d v="2024-07-15T00:00:00"/>
    <x v="2"/>
    <x v="6"/>
    <s v="Gbenga Adesanya"/>
    <n v="30000000"/>
    <s v="NORMAL"/>
  </r>
  <r>
    <s v="LN00115"/>
    <s v="CUS0044"/>
    <s v="BR001"/>
    <s v="RM001"/>
    <x v="0"/>
    <n v="750000"/>
    <n v="0.16"/>
    <n v="18"/>
    <d v="2024-10-31T00:00:00"/>
    <x v="1"/>
    <x v="8"/>
    <s v="Adaora Okafor"/>
    <n v="30000000"/>
    <s v="AT RISK"/>
  </r>
  <r>
    <s v="LN00122"/>
    <s v="CUS0216"/>
    <s v="BR003"/>
    <s v="RM006"/>
    <x v="0"/>
    <n v="5000000"/>
    <n v="0.22"/>
    <n v="36"/>
    <d v="2024-04-30T00:00:00"/>
    <x v="2"/>
    <x v="7"/>
    <s v="Ibrahim Bello"/>
    <n v="75000000"/>
    <s v="NORMAL"/>
  </r>
  <r>
    <s v="LN00465"/>
    <s v="CUS0103"/>
    <s v="BR001"/>
    <s v="RM002"/>
    <x v="0"/>
    <n v="5000000"/>
    <n v="0.24"/>
    <n v="18"/>
    <d v="2024-03-16T00:00:00"/>
    <x v="2"/>
    <x v="8"/>
    <s v="Emeka Nwosu"/>
    <n v="50000000"/>
    <s v="NORMAL"/>
  </r>
  <r>
    <s v="LN00446"/>
    <s v="CUS0031"/>
    <s v="BR001"/>
    <s v="RM002"/>
    <x v="0"/>
    <n v="500000"/>
    <n v="0.18"/>
    <n v="36"/>
    <d v="2024-01-30T00:00:00"/>
    <x v="0"/>
    <x v="8"/>
    <s v="Emeka Nwosu"/>
    <n v="50000000"/>
    <s v="NORMA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A83562-26CE-4DF7-9F70-00B38D11F531}" name="Total_LoanAmount_Branc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12" firstHeaderRow="1" firstDataRow="1" firstDataCol="1"/>
  <pivotFields count="14">
    <pivotField showAll="0"/>
    <pivotField showAll="0"/>
    <pivotField showAll="0"/>
    <pivotField showAll="0"/>
    <pivotField showAll="0"/>
    <pivotField dataField="1" numFmtId="165" showAll="0"/>
    <pivotField numFmtId="9" showAll="0"/>
    <pivotField showAll="0"/>
    <pivotField numFmtId="14" showAll="0"/>
    <pivotField showAll="0"/>
    <pivotField axis="axisRow" showAll="0" sortType="descending">
      <items count="11">
        <item x="5"/>
        <item x="2"/>
        <item x="6"/>
        <item x="7"/>
        <item x="9"/>
        <item x="1"/>
        <item x="4"/>
        <item x="3"/>
        <item x="8"/>
        <item x="0"/>
        <item t="default"/>
      </items>
      <autoSortScope>
        <pivotArea dataOnly="0" outline="0" fieldPosition="0">
          <references count="1">
            <reference field="4294967294" count="1" selected="0">
              <x v="0"/>
            </reference>
          </references>
        </pivotArea>
      </autoSortScope>
    </pivotField>
    <pivotField showAll="0"/>
    <pivotField numFmtId="165" showAll="0"/>
    <pivotField showAll="0"/>
  </pivotFields>
  <rowFields count="1">
    <field x="10"/>
  </rowFields>
  <rowItems count="11">
    <i>
      <x v="4"/>
    </i>
    <i>
      <x v="6"/>
    </i>
    <i>
      <x v="2"/>
    </i>
    <i>
      <x/>
    </i>
    <i>
      <x v="7"/>
    </i>
    <i>
      <x v="3"/>
    </i>
    <i>
      <x v="1"/>
    </i>
    <i>
      <x v="8"/>
    </i>
    <i>
      <x v="5"/>
    </i>
    <i>
      <x v="9"/>
    </i>
    <i t="grand">
      <x/>
    </i>
  </rowItems>
  <colItems count="1">
    <i/>
  </colItems>
  <dataFields count="1">
    <dataField name="Sum of loan_amount" fld="5" baseField="0" baseItem="0" numFmtId="165"/>
  </dataFields>
  <formats count="6">
    <format dxfId="8">
      <pivotArea type="all" dataOnly="0" outline="0" fieldPosition="0"/>
    </format>
    <format dxfId="7">
      <pivotArea outline="0" collapsedLevelsAreSubtotals="1" fieldPosition="0"/>
    </format>
    <format dxfId="6">
      <pivotArea field="10" type="button" dataOnly="0" labelOnly="1" outline="0" axis="axisRow" fieldPosition="0"/>
    </format>
    <format dxfId="5">
      <pivotArea dataOnly="0" labelOnly="1" fieldPosition="0">
        <references count="1">
          <reference field="10" count="0"/>
        </references>
      </pivotArea>
    </format>
    <format dxfId="4">
      <pivotArea dataOnly="0" labelOnly="1" grandRow="1" outline="0" fieldPosition="0"/>
    </format>
    <format dxfId="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F03CAD-A8D6-40B1-B4A7-708C3C3DB706}" name="Loancount_status_branc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E28" firstHeaderRow="1" firstDataRow="2" firstDataCol="1"/>
  <pivotFields count="14">
    <pivotField dataField="1" showAll="0"/>
    <pivotField showAll="0"/>
    <pivotField showAll="0"/>
    <pivotField showAll="0"/>
    <pivotField showAll="0"/>
    <pivotField numFmtId="165" showAll="0"/>
    <pivotField numFmtId="9" showAll="0"/>
    <pivotField showAll="0"/>
    <pivotField numFmtId="14" showAll="0"/>
    <pivotField axis="axisCol" showAll="0">
      <items count="4">
        <item x="2"/>
        <item x="1"/>
        <item x="0"/>
        <item t="default"/>
      </items>
    </pivotField>
    <pivotField axis="axisRow" showAll="0">
      <items count="11">
        <item x="5"/>
        <item x="2"/>
        <item x="6"/>
        <item x="7"/>
        <item x="9"/>
        <item x="1"/>
        <item x="4"/>
        <item x="3"/>
        <item x="8"/>
        <item x="0"/>
        <item t="default"/>
      </items>
    </pivotField>
    <pivotField showAll="0"/>
    <pivotField numFmtId="165" showAll="0"/>
    <pivotField showAll="0"/>
  </pivotFields>
  <rowFields count="1">
    <field x="10"/>
  </rowFields>
  <rowItems count="11">
    <i>
      <x/>
    </i>
    <i>
      <x v="1"/>
    </i>
    <i>
      <x v="2"/>
    </i>
    <i>
      <x v="3"/>
    </i>
    <i>
      <x v="4"/>
    </i>
    <i>
      <x v="5"/>
    </i>
    <i>
      <x v="6"/>
    </i>
    <i>
      <x v="7"/>
    </i>
    <i>
      <x v="8"/>
    </i>
    <i>
      <x v="9"/>
    </i>
    <i t="grand">
      <x/>
    </i>
  </rowItems>
  <colFields count="1">
    <field x="9"/>
  </colFields>
  <colItems count="4">
    <i>
      <x/>
    </i>
    <i>
      <x v="1"/>
    </i>
    <i>
      <x v="2"/>
    </i>
    <i t="grand">
      <x/>
    </i>
  </colItems>
  <dataFields count="1">
    <dataField name="Count of loan_id" fld="0" subtotal="count" baseField="0" baseItem="0"/>
  </dataFields>
  <formats count="1">
    <format dxfId="9">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B2505B3-09F3-43CF-BCB3-B973D8775A09}" name="LoanCount_typ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H5" firstHeaderRow="1" firstDataRow="1" firstDataCol="1"/>
  <pivotFields count="14">
    <pivotField dataField="1" showAll="0"/>
    <pivotField showAll="0"/>
    <pivotField showAll="0"/>
    <pivotField showAll="0"/>
    <pivotField axis="axisRow" showAll="0">
      <items count="4">
        <item x="0"/>
        <item x="2"/>
        <item x="1"/>
        <item t="default"/>
      </items>
    </pivotField>
    <pivotField numFmtId="165" showAll="0"/>
    <pivotField numFmtId="9" showAll="0"/>
    <pivotField showAll="0"/>
    <pivotField numFmtId="14" showAll="0"/>
    <pivotField showAll="0"/>
    <pivotField showAll="0"/>
    <pivotField showAll="0"/>
    <pivotField numFmtId="165" showAll="0"/>
    <pivotField showAll="0"/>
  </pivotFields>
  <rowFields count="1">
    <field x="4"/>
  </rowFields>
  <rowItems count="4">
    <i>
      <x/>
    </i>
    <i>
      <x v="1"/>
    </i>
    <i>
      <x v="2"/>
    </i>
    <i t="grand">
      <x/>
    </i>
  </rowItems>
  <colItems count="1">
    <i/>
  </colItems>
  <dataFields count="1">
    <dataField name="Count of loan_id" fld="0" subtotal="count" baseField="0" baseItem="0"/>
  </dataFields>
  <formats count="6">
    <format dxfId="15">
      <pivotArea type="all" dataOnly="0" outline="0" fieldPosition="0"/>
    </format>
    <format dxfId="14">
      <pivotArea outline="0" collapsedLevelsAreSubtotals="1" fieldPosition="0"/>
    </format>
    <format dxfId="13">
      <pivotArea field="4" type="button" dataOnly="0" labelOnly="1" outline="0" axis="axisRow" fieldPosition="0"/>
    </format>
    <format dxfId="12">
      <pivotArea dataOnly="0" labelOnly="1" fieldPosition="0">
        <references count="1">
          <reference field="4" count="0"/>
        </references>
      </pivotArea>
    </format>
    <format dxfId="11">
      <pivotArea dataOnly="0" labelOnly="1" grandRow="1" outline="0" fieldPosition="0"/>
    </format>
    <format dxfId="1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501"/>
  <sheetViews>
    <sheetView tabSelected="1" topLeftCell="D1" workbookViewId="0">
      <pane ySplit="1" topLeftCell="A156" activePane="bottomLeft" state="frozen"/>
      <selection pane="bottomLeft" activeCell="O1" sqref="O1"/>
    </sheetView>
  </sheetViews>
  <sheetFormatPr defaultRowHeight="14.4" x14ac:dyDescent="0.3"/>
  <cols>
    <col min="1" max="1" width="11" style="12" customWidth="1"/>
    <col min="2" max="2" width="15" style="12" customWidth="1"/>
    <col min="3" max="3" width="13" style="12" customWidth="1"/>
    <col min="4" max="4" width="9" customWidth="1"/>
    <col min="5" max="5" width="13" customWidth="1"/>
    <col min="6" max="6" width="15" customWidth="1"/>
    <col min="7" max="7" width="17" style="20" customWidth="1"/>
    <col min="8" max="8" width="17" style="22" customWidth="1"/>
    <col min="9" max="9" width="21" style="24" customWidth="1"/>
    <col min="10" max="10" width="15" style="12" customWidth="1"/>
    <col min="11" max="11" width="14.44140625" style="12" customWidth="1"/>
    <col min="12" max="12" width="14" style="12" customWidth="1"/>
    <col min="13" max="13" width="16" style="7" customWidth="1"/>
    <col min="14" max="14" width="18.44140625" style="12" customWidth="1"/>
    <col min="19" max="19" width="26" customWidth="1"/>
    <col min="20" max="20" width="19.88671875" customWidth="1"/>
  </cols>
  <sheetData>
    <row r="1" spans="1:20" x14ac:dyDescent="0.3">
      <c r="A1" s="8" t="s">
        <v>0</v>
      </c>
      <c r="B1" s="8" t="s">
        <v>1</v>
      </c>
      <c r="C1" s="8" t="s">
        <v>2</v>
      </c>
      <c r="D1" s="8" t="s">
        <v>3</v>
      </c>
      <c r="E1" s="8" t="s">
        <v>4</v>
      </c>
      <c r="F1" s="16" t="s">
        <v>5</v>
      </c>
      <c r="G1" s="17" t="s">
        <v>6</v>
      </c>
      <c r="H1" s="21" t="s">
        <v>7</v>
      </c>
      <c r="I1" s="23" t="s">
        <v>8</v>
      </c>
      <c r="J1" s="8" t="s">
        <v>9</v>
      </c>
      <c r="K1" s="9" t="s">
        <v>789</v>
      </c>
      <c r="L1" s="9" t="s">
        <v>790</v>
      </c>
      <c r="M1" s="25" t="s">
        <v>791</v>
      </c>
      <c r="N1" s="10" t="s">
        <v>792</v>
      </c>
      <c r="O1" s="10" t="s">
        <v>857</v>
      </c>
    </row>
    <row r="2" spans="1:20" x14ac:dyDescent="0.3">
      <c r="A2" s="11" t="s">
        <v>10</v>
      </c>
      <c r="B2" s="11" t="s">
        <v>11</v>
      </c>
      <c r="C2" s="11" t="s">
        <v>12</v>
      </c>
      <c r="D2" s="11" t="s">
        <v>13</v>
      </c>
      <c r="E2" s="11" t="s">
        <v>81</v>
      </c>
      <c r="F2" s="5">
        <v>1500000</v>
      </c>
      <c r="G2" s="18">
        <v>0.24</v>
      </c>
      <c r="H2" s="14">
        <v>6</v>
      </c>
      <c r="I2" s="3">
        <v>45587</v>
      </c>
      <c r="J2" s="11" t="s">
        <v>14</v>
      </c>
      <c r="K2" s="12" t="s">
        <v>793</v>
      </c>
      <c r="L2" s="12" t="s">
        <v>803</v>
      </c>
      <c r="M2" s="7">
        <v>75000000</v>
      </c>
      <c r="N2" s="12" t="str">
        <f t="shared" ref="N2:N65" si="0">IF(AND(J2="Defaulted",F2&gt;2000000), "HIGH RISK", IF(J2="Defaulted", "AT RISK", "NORMAL"))</f>
        <v>NORMAL</v>
      </c>
      <c r="O2" t="str">
        <f>_xlfn.XLOOKUP(C2,[1]branches!$A$2:$A$11,[1]branches!$D$2:$D$11, "Not specified")</f>
        <v>North</v>
      </c>
    </row>
    <row r="3" spans="1:20" x14ac:dyDescent="0.3">
      <c r="A3" s="13" t="s">
        <v>15</v>
      </c>
      <c r="B3" s="13" t="s">
        <v>16</v>
      </c>
      <c r="C3" s="13" t="s">
        <v>17</v>
      </c>
      <c r="D3" s="13" t="s">
        <v>18</v>
      </c>
      <c r="E3" s="13" t="s">
        <v>760</v>
      </c>
      <c r="F3" s="6">
        <v>500000</v>
      </c>
      <c r="G3" s="19">
        <v>0.22</v>
      </c>
      <c r="H3" s="15">
        <v>36</v>
      </c>
      <c r="I3" s="4">
        <v>45520</v>
      </c>
      <c r="J3" s="13" t="s">
        <v>19</v>
      </c>
      <c r="K3" s="12" t="s">
        <v>794</v>
      </c>
      <c r="L3" s="12" t="s">
        <v>804</v>
      </c>
      <c r="M3" s="7">
        <v>75000000</v>
      </c>
      <c r="N3" s="12" t="str">
        <f t="shared" si="0"/>
        <v>AT RISK</v>
      </c>
      <c r="O3" t="str">
        <f>_xlfn.XLOOKUP(C3,[1]branches!$A$2:$A$11,[1]branches!$D$2:$D$11, "Not specified")</f>
        <v>South-South</v>
      </c>
      <c r="S3" s="26" t="s">
        <v>855</v>
      </c>
      <c r="T3" s="26" t="s">
        <v>856</v>
      </c>
    </row>
    <row r="4" spans="1:20" x14ac:dyDescent="0.3">
      <c r="A4" s="11" t="s">
        <v>20</v>
      </c>
      <c r="B4" s="11" t="s">
        <v>21</v>
      </c>
      <c r="C4" s="11" t="s">
        <v>22</v>
      </c>
      <c r="D4" s="11" t="s">
        <v>23</v>
      </c>
      <c r="E4" s="11" t="s">
        <v>760</v>
      </c>
      <c r="F4" s="5">
        <v>1500000</v>
      </c>
      <c r="G4" s="18">
        <v>0.22</v>
      </c>
      <c r="H4" s="14">
        <v>6</v>
      </c>
      <c r="I4" s="3">
        <v>45411</v>
      </c>
      <c r="J4" s="11" t="s">
        <v>14</v>
      </c>
      <c r="K4" s="12" t="s">
        <v>795</v>
      </c>
      <c r="L4" s="12" t="s">
        <v>805</v>
      </c>
      <c r="M4" s="7">
        <v>30000000</v>
      </c>
      <c r="N4" s="12" t="str">
        <f t="shared" si="0"/>
        <v>NORMAL</v>
      </c>
      <c r="O4" t="str">
        <f>_xlfn.XLOOKUP(C4,[1]branches!$A$2:$A$11,[1]branches!$D$2:$D$11, "Not specified")</f>
        <v>North</v>
      </c>
      <c r="S4" t="s">
        <v>852</v>
      </c>
      <c r="T4" t="s">
        <v>847</v>
      </c>
    </row>
    <row r="5" spans="1:20" x14ac:dyDescent="0.3">
      <c r="A5" s="13" t="s">
        <v>24</v>
      </c>
      <c r="B5" s="13" t="s">
        <v>25</v>
      </c>
      <c r="C5" s="13" t="s">
        <v>26</v>
      </c>
      <c r="D5" s="13" t="s">
        <v>27</v>
      </c>
      <c r="E5" s="13" t="s">
        <v>39</v>
      </c>
      <c r="F5" s="6">
        <v>3000000</v>
      </c>
      <c r="G5" s="19">
        <v>0.22</v>
      </c>
      <c r="H5" s="15">
        <v>6</v>
      </c>
      <c r="I5" s="4">
        <v>45432</v>
      </c>
      <c r="J5" s="13" t="s">
        <v>14</v>
      </c>
      <c r="K5" s="12" t="s">
        <v>796</v>
      </c>
      <c r="L5" s="12" t="s">
        <v>806</v>
      </c>
      <c r="M5" s="7">
        <v>50000000</v>
      </c>
      <c r="N5" s="12" t="str">
        <f t="shared" si="0"/>
        <v>NORMAL</v>
      </c>
      <c r="O5" t="str">
        <f>_xlfn.XLOOKUP(C5,[1]branches!$A$2:$A$11,[1]branches!$D$2:$D$11, "Not specified")</f>
        <v>North</v>
      </c>
      <c r="S5" t="s">
        <v>853</v>
      </c>
      <c r="T5" t="s">
        <v>849</v>
      </c>
    </row>
    <row r="6" spans="1:20" x14ac:dyDescent="0.3">
      <c r="A6" s="11" t="s">
        <v>28</v>
      </c>
      <c r="B6" s="11" t="s">
        <v>29</v>
      </c>
      <c r="C6" s="11" t="s">
        <v>22</v>
      </c>
      <c r="D6" s="11" t="s">
        <v>30</v>
      </c>
      <c r="E6" s="11" t="s">
        <v>81</v>
      </c>
      <c r="F6" s="5">
        <v>3000000</v>
      </c>
      <c r="G6" s="18">
        <v>0.2</v>
      </c>
      <c r="H6" s="14">
        <v>36</v>
      </c>
      <c r="I6" s="3">
        <v>45546</v>
      </c>
      <c r="J6" s="11" t="s">
        <v>14</v>
      </c>
      <c r="K6" s="12" t="s">
        <v>795</v>
      </c>
      <c r="L6" s="12" t="s">
        <v>807</v>
      </c>
      <c r="M6" s="7">
        <v>30000000</v>
      </c>
      <c r="N6" s="12" t="str">
        <f t="shared" si="0"/>
        <v>NORMAL</v>
      </c>
      <c r="O6" t="str">
        <f>_xlfn.XLOOKUP(C6,[1]branches!$A$2:$A$11,[1]branches!$D$2:$D$11, "Not specified")</f>
        <v>North</v>
      </c>
      <c r="S6" t="s">
        <v>854</v>
      </c>
      <c r="T6" t="s">
        <v>848</v>
      </c>
    </row>
    <row r="7" spans="1:20" x14ac:dyDescent="0.3">
      <c r="A7" s="13" t="s">
        <v>31</v>
      </c>
      <c r="B7" s="13" t="s">
        <v>32</v>
      </c>
      <c r="C7" s="13" t="s">
        <v>22</v>
      </c>
      <c r="D7" s="13" t="s">
        <v>30</v>
      </c>
      <c r="E7" s="13" t="s">
        <v>760</v>
      </c>
      <c r="F7" s="6">
        <v>1500000</v>
      </c>
      <c r="G7" s="19">
        <v>0.22</v>
      </c>
      <c r="H7" s="15">
        <v>36</v>
      </c>
      <c r="I7" s="4">
        <v>45370</v>
      </c>
      <c r="J7" s="13" t="s">
        <v>33</v>
      </c>
      <c r="K7" s="12" t="s">
        <v>795</v>
      </c>
      <c r="L7" s="12" t="s">
        <v>807</v>
      </c>
      <c r="M7" s="7">
        <v>30000000</v>
      </c>
      <c r="N7" s="12" t="str">
        <f t="shared" si="0"/>
        <v>NORMAL</v>
      </c>
      <c r="O7" t="str">
        <f>_xlfn.XLOOKUP(C7,[1]branches!$A$2:$A$11,[1]branches!$D$2:$D$11, "Not specified")</f>
        <v>North</v>
      </c>
      <c r="S7" t="s">
        <v>850</v>
      </c>
      <c r="T7" t="s">
        <v>851</v>
      </c>
    </row>
    <row r="8" spans="1:20" x14ac:dyDescent="0.3">
      <c r="A8" s="11" t="s">
        <v>34</v>
      </c>
      <c r="B8" s="11" t="s">
        <v>35</v>
      </c>
      <c r="C8" s="11" t="s">
        <v>36</v>
      </c>
      <c r="D8" s="11" t="s">
        <v>37</v>
      </c>
      <c r="E8" s="11" t="s">
        <v>760</v>
      </c>
      <c r="F8" s="5">
        <v>1000000</v>
      </c>
      <c r="G8" s="18">
        <v>0.18</v>
      </c>
      <c r="H8" s="14">
        <v>6</v>
      </c>
      <c r="I8" s="3">
        <v>45506</v>
      </c>
      <c r="J8" s="11" t="s">
        <v>14</v>
      </c>
      <c r="K8" s="12" t="s">
        <v>797</v>
      </c>
      <c r="L8" s="12" t="s">
        <v>808</v>
      </c>
      <c r="M8" s="7">
        <v>40000000</v>
      </c>
      <c r="N8" s="12" t="str">
        <f t="shared" si="0"/>
        <v>NORMAL</v>
      </c>
      <c r="O8" t="str">
        <f>_xlfn.XLOOKUP(C8,[1]branches!$A$2:$A$11,[1]branches!$D$2:$D$11, "Not specified")</f>
        <v>South-South</v>
      </c>
    </row>
    <row r="9" spans="1:20" x14ac:dyDescent="0.3">
      <c r="A9" s="13" t="s">
        <v>38</v>
      </c>
      <c r="B9" s="13" t="s">
        <v>16</v>
      </c>
      <c r="C9" s="13" t="s">
        <v>17</v>
      </c>
      <c r="D9" s="13" t="s">
        <v>18</v>
      </c>
      <c r="E9" s="13" t="s">
        <v>39</v>
      </c>
      <c r="F9" s="6">
        <v>500000</v>
      </c>
      <c r="G9" s="19">
        <v>0.22</v>
      </c>
      <c r="H9" s="15">
        <v>36</v>
      </c>
      <c r="I9" s="4">
        <v>45371</v>
      </c>
      <c r="J9" s="13" t="s">
        <v>33</v>
      </c>
      <c r="K9" s="12" t="s">
        <v>794</v>
      </c>
      <c r="L9" s="12" t="s">
        <v>804</v>
      </c>
      <c r="M9" s="7">
        <v>75000000</v>
      </c>
      <c r="N9" s="12" t="str">
        <f t="shared" si="0"/>
        <v>NORMAL</v>
      </c>
      <c r="O9" t="str">
        <f>_xlfn.XLOOKUP(C9,[1]branches!$A$2:$A$11,[1]branches!$D$2:$D$11, "Not specified")</f>
        <v>South-South</v>
      </c>
    </row>
    <row r="10" spans="1:20" x14ac:dyDescent="0.3">
      <c r="A10" s="11" t="s">
        <v>40</v>
      </c>
      <c r="B10" s="11" t="s">
        <v>41</v>
      </c>
      <c r="C10" s="11" t="s">
        <v>42</v>
      </c>
      <c r="D10" s="11" t="s">
        <v>43</v>
      </c>
      <c r="E10" s="11" t="s">
        <v>760</v>
      </c>
      <c r="F10" s="5">
        <v>5000000</v>
      </c>
      <c r="G10" s="18">
        <v>0.18</v>
      </c>
      <c r="H10" s="14">
        <v>18</v>
      </c>
      <c r="I10" s="3">
        <v>45415</v>
      </c>
      <c r="J10" s="11" t="s">
        <v>33</v>
      </c>
      <c r="K10" s="12" t="s">
        <v>798</v>
      </c>
      <c r="L10" s="12" t="s">
        <v>809</v>
      </c>
      <c r="M10" s="7">
        <v>40000000</v>
      </c>
      <c r="N10" s="12" t="str">
        <f t="shared" si="0"/>
        <v>NORMAL</v>
      </c>
      <c r="O10" t="str">
        <f>_xlfn.XLOOKUP(C10,[1]branches!$A$2:$A$11,[1]branches!$D$2:$D$11, "Not specified")</f>
        <v>North</v>
      </c>
    </row>
    <row r="11" spans="1:20" x14ac:dyDescent="0.3">
      <c r="A11" s="13" t="s">
        <v>44</v>
      </c>
      <c r="B11" s="13" t="s">
        <v>45</v>
      </c>
      <c r="C11" s="13" t="s">
        <v>46</v>
      </c>
      <c r="D11" s="13" t="s">
        <v>47</v>
      </c>
      <c r="E11" s="13" t="s">
        <v>39</v>
      </c>
      <c r="F11" s="6">
        <v>7500000</v>
      </c>
      <c r="G11" s="19">
        <v>0.18</v>
      </c>
      <c r="H11" s="15">
        <v>24</v>
      </c>
      <c r="I11" s="4">
        <v>45618</v>
      </c>
      <c r="J11" s="13" t="s">
        <v>14</v>
      </c>
      <c r="K11" s="12" t="s">
        <v>799</v>
      </c>
      <c r="L11" s="12" t="s">
        <v>810</v>
      </c>
      <c r="M11" s="7">
        <v>30000000</v>
      </c>
      <c r="N11" s="12" t="str">
        <f t="shared" si="0"/>
        <v>NORMAL</v>
      </c>
      <c r="O11" t="str">
        <f>_xlfn.XLOOKUP(C11,[1]branches!$A$2:$A$11,[1]branches!$D$2:$D$11, "Not specified")</f>
        <v>South-West</v>
      </c>
    </row>
    <row r="12" spans="1:20" x14ac:dyDescent="0.3">
      <c r="A12" s="11" t="s">
        <v>48</v>
      </c>
      <c r="B12" s="11" t="s">
        <v>49</v>
      </c>
      <c r="C12" s="11" t="s">
        <v>50</v>
      </c>
      <c r="D12" s="11" t="s">
        <v>51</v>
      </c>
      <c r="E12" s="11" t="s">
        <v>39</v>
      </c>
      <c r="F12" s="5">
        <v>500000</v>
      </c>
      <c r="G12" s="18">
        <v>0.16</v>
      </c>
      <c r="H12" s="14">
        <v>12</v>
      </c>
      <c r="I12" s="3">
        <v>45314</v>
      </c>
      <c r="J12" s="11" t="s">
        <v>33</v>
      </c>
      <c r="K12" s="12" t="s">
        <v>800</v>
      </c>
      <c r="L12" s="12" t="s">
        <v>811</v>
      </c>
      <c r="M12" s="7">
        <v>75000000</v>
      </c>
      <c r="N12" s="12" t="str">
        <f t="shared" si="0"/>
        <v>NORMAL</v>
      </c>
      <c r="O12" t="str">
        <f>_xlfn.XLOOKUP(C12,[1]branches!$A$2:$A$11,[1]branches!$D$2:$D$11, "Not specified")</f>
        <v>South-West</v>
      </c>
    </row>
    <row r="13" spans="1:20" x14ac:dyDescent="0.3">
      <c r="A13" s="13" t="s">
        <v>52</v>
      </c>
      <c r="B13" s="13" t="s">
        <v>53</v>
      </c>
      <c r="C13" s="13" t="s">
        <v>36</v>
      </c>
      <c r="D13" s="13" t="s">
        <v>37</v>
      </c>
      <c r="E13" s="13" t="s">
        <v>81</v>
      </c>
      <c r="F13" s="6">
        <v>10000000</v>
      </c>
      <c r="G13" s="19">
        <v>0.24</v>
      </c>
      <c r="H13" s="15">
        <v>6</v>
      </c>
      <c r="I13" s="4">
        <v>45435</v>
      </c>
      <c r="J13" s="13" t="s">
        <v>33</v>
      </c>
      <c r="K13" s="12" t="s">
        <v>797</v>
      </c>
      <c r="L13" s="12" t="s">
        <v>808</v>
      </c>
      <c r="M13" s="7">
        <v>40000000</v>
      </c>
      <c r="N13" s="12" t="str">
        <f t="shared" si="0"/>
        <v>NORMAL</v>
      </c>
      <c r="O13" t="str">
        <f>_xlfn.XLOOKUP(C13,[1]branches!$A$2:$A$11,[1]branches!$D$2:$D$11, "Not specified")</f>
        <v>South-South</v>
      </c>
    </row>
    <row r="14" spans="1:20" x14ac:dyDescent="0.3">
      <c r="A14" s="11" t="s">
        <v>54</v>
      </c>
      <c r="B14" s="11" t="s">
        <v>55</v>
      </c>
      <c r="C14" s="11" t="s">
        <v>56</v>
      </c>
      <c r="D14" s="11" t="s">
        <v>57</v>
      </c>
      <c r="E14" s="11" t="s">
        <v>81</v>
      </c>
      <c r="F14" s="5">
        <v>1000000</v>
      </c>
      <c r="G14" s="18">
        <v>0.22</v>
      </c>
      <c r="H14" s="14">
        <v>6</v>
      </c>
      <c r="I14" s="3">
        <v>45525</v>
      </c>
      <c r="J14" s="11" t="s">
        <v>14</v>
      </c>
      <c r="K14" s="12" t="s">
        <v>801</v>
      </c>
      <c r="L14" s="12" t="s">
        <v>812</v>
      </c>
      <c r="M14" s="7">
        <v>50000000</v>
      </c>
      <c r="N14" s="12" t="str">
        <f t="shared" si="0"/>
        <v>NORMAL</v>
      </c>
      <c r="O14" t="str">
        <f>_xlfn.XLOOKUP(C14,[1]branches!$A$2:$A$11,[1]branches!$D$2:$D$11, "Not specified")</f>
        <v>South-West</v>
      </c>
    </row>
    <row r="15" spans="1:20" x14ac:dyDescent="0.3">
      <c r="A15" s="13" t="s">
        <v>58</v>
      </c>
      <c r="B15" s="13" t="s">
        <v>59</v>
      </c>
      <c r="C15" s="13" t="s">
        <v>60</v>
      </c>
      <c r="D15" s="13" t="s">
        <v>61</v>
      </c>
      <c r="E15" s="13" t="s">
        <v>81</v>
      </c>
      <c r="F15" s="6">
        <v>3000000</v>
      </c>
      <c r="G15" s="19">
        <v>0.16</v>
      </c>
      <c r="H15" s="15">
        <v>36</v>
      </c>
      <c r="I15" s="4">
        <v>45539</v>
      </c>
      <c r="J15" s="13" t="s">
        <v>33</v>
      </c>
      <c r="K15" s="12" t="s">
        <v>802</v>
      </c>
      <c r="L15" s="12" t="s">
        <v>813</v>
      </c>
      <c r="M15" s="7">
        <v>75000000</v>
      </c>
      <c r="N15" s="12" t="str">
        <f t="shared" si="0"/>
        <v>NORMAL</v>
      </c>
      <c r="O15" t="str">
        <f>_xlfn.XLOOKUP(C15,[1]branches!$A$2:$A$11,[1]branches!$D$2:$D$11, "Not specified")</f>
        <v>North</v>
      </c>
    </row>
    <row r="16" spans="1:20" x14ac:dyDescent="0.3">
      <c r="A16" s="11" t="s">
        <v>62</v>
      </c>
      <c r="B16" s="11" t="s">
        <v>63</v>
      </c>
      <c r="C16" s="11" t="s">
        <v>50</v>
      </c>
      <c r="D16" s="11" t="s">
        <v>51</v>
      </c>
      <c r="E16" s="11" t="s">
        <v>81</v>
      </c>
      <c r="F16" s="5">
        <v>3000000</v>
      </c>
      <c r="G16" s="18">
        <v>0.22</v>
      </c>
      <c r="H16" s="14">
        <v>18</v>
      </c>
      <c r="I16" s="3">
        <v>45454</v>
      </c>
      <c r="J16" s="11" t="s">
        <v>33</v>
      </c>
      <c r="K16" s="12" t="s">
        <v>800</v>
      </c>
      <c r="L16" s="12" t="s">
        <v>811</v>
      </c>
      <c r="M16" s="7">
        <v>75000000</v>
      </c>
      <c r="N16" s="12" t="str">
        <f t="shared" si="0"/>
        <v>NORMAL</v>
      </c>
      <c r="O16" t="str">
        <f>_xlfn.XLOOKUP(C16,[1]branches!$A$2:$A$11,[1]branches!$D$2:$D$11, "Not specified")</f>
        <v>South-West</v>
      </c>
    </row>
    <row r="17" spans="1:15" x14ac:dyDescent="0.3">
      <c r="A17" s="13" t="s">
        <v>64</v>
      </c>
      <c r="B17" s="13" t="s">
        <v>65</v>
      </c>
      <c r="C17" s="13" t="s">
        <v>26</v>
      </c>
      <c r="D17" s="13" t="s">
        <v>66</v>
      </c>
      <c r="E17" s="13" t="s">
        <v>760</v>
      </c>
      <c r="F17" s="6">
        <v>3000000</v>
      </c>
      <c r="G17" s="19">
        <v>0.22</v>
      </c>
      <c r="H17" s="15">
        <v>6</v>
      </c>
      <c r="I17" s="4">
        <v>45483</v>
      </c>
      <c r="J17" s="13" t="s">
        <v>14</v>
      </c>
      <c r="K17" s="12" t="s">
        <v>796</v>
      </c>
      <c r="L17" s="12" t="s">
        <v>814</v>
      </c>
      <c r="M17" s="7">
        <v>60000000</v>
      </c>
      <c r="N17" s="12" t="str">
        <f t="shared" si="0"/>
        <v>NORMAL</v>
      </c>
      <c r="O17" t="str">
        <f>_xlfn.XLOOKUP(C17,[1]branches!$A$2:$A$11,[1]branches!$D$2:$D$11, "Not specified")</f>
        <v>North</v>
      </c>
    </row>
    <row r="18" spans="1:15" x14ac:dyDescent="0.3">
      <c r="A18" s="11" t="s">
        <v>67</v>
      </c>
      <c r="B18" s="11" t="s">
        <v>68</v>
      </c>
      <c r="C18" s="11" t="s">
        <v>60</v>
      </c>
      <c r="D18" s="11" t="s">
        <v>69</v>
      </c>
      <c r="E18" s="11" t="s">
        <v>39</v>
      </c>
      <c r="F18" s="5">
        <v>7500000</v>
      </c>
      <c r="G18" s="18">
        <v>0.2</v>
      </c>
      <c r="H18" s="14">
        <v>24</v>
      </c>
      <c r="I18" s="3">
        <v>45393</v>
      </c>
      <c r="J18" s="11" t="s">
        <v>19</v>
      </c>
      <c r="K18" s="12" t="s">
        <v>802</v>
      </c>
      <c r="L18" s="12" t="s">
        <v>815</v>
      </c>
      <c r="M18" s="7">
        <v>75000000</v>
      </c>
      <c r="N18" s="12" t="str">
        <f t="shared" si="0"/>
        <v>HIGH RISK</v>
      </c>
      <c r="O18" t="str">
        <f>_xlfn.XLOOKUP(C18,[1]branches!$A$2:$A$11,[1]branches!$D$2:$D$11, "Not specified")</f>
        <v>North</v>
      </c>
    </row>
    <row r="19" spans="1:15" x14ac:dyDescent="0.3">
      <c r="A19" s="13" t="s">
        <v>70</v>
      </c>
      <c r="B19" s="13" t="s">
        <v>71</v>
      </c>
      <c r="C19" s="13" t="s">
        <v>60</v>
      </c>
      <c r="D19" s="13" t="s">
        <v>69</v>
      </c>
      <c r="E19" s="13" t="s">
        <v>39</v>
      </c>
      <c r="F19" s="6">
        <v>7500000</v>
      </c>
      <c r="G19" s="19">
        <v>0.2</v>
      </c>
      <c r="H19" s="15">
        <v>6</v>
      </c>
      <c r="I19" s="4">
        <v>45622</v>
      </c>
      <c r="J19" s="13" t="s">
        <v>14</v>
      </c>
      <c r="K19" s="12" t="s">
        <v>802</v>
      </c>
      <c r="L19" s="12" t="s">
        <v>815</v>
      </c>
      <c r="M19" s="7">
        <v>75000000</v>
      </c>
      <c r="N19" s="12" t="str">
        <f t="shared" si="0"/>
        <v>NORMAL</v>
      </c>
      <c r="O19" t="str">
        <f>_xlfn.XLOOKUP(C19,[1]branches!$A$2:$A$11,[1]branches!$D$2:$D$11, "Not specified")</f>
        <v>North</v>
      </c>
    </row>
    <row r="20" spans="1:15" x14ac:dyDescent="0.3">
      <c r="A20" s="11" t="s">
        <v>72</v>
      </c>
      <c r="B20" s="11" t="s">
        <v>73</v>
      </c>
      <c r="C20" s="11" t="s">
        <v>56</v>
      </c>
      <c r="D20" s="11" t="s">
        <v>74</v>
      </c>
      <c r="E20" s="11" t="s">
        <v>760</v>
      </c>
      <c r="F20" s="5">
        <v>500000</v>
      </c>
      <c r="G20" s="18">
        <v>0.22</v>
      </c>
      <c r="H20" s="14">
        <v>6</v>
      </c>
      <c r="I20" s="3">
        <v>45582</v>
      </c>
      <c r="J20" s="11" t="s">
        <v>19</v>
      </c>
      <c r="K20" s="12" t="s">
        <v>801</v>
      </c>
      <c r="L20" s="12" t="s">
        <v>816</v>
      </c>
      <c r="M20" s="7">
        <v>30000000</v>
      </c>
      <c r="N20" s="12" t="str">
        <f t="shared" si="0"/>
        <v>AT RISK</v>
      </c>
      <c r="O20" t="str">
        <f>_xlfn.XLOOKUP(C20,[1]branches!$A$2:$A$11,[1]branches!$D$2:$D$11, "Not specified")</f>
        <v>South-West</v>
      </c>
    </row>
    <row r="21" spans="1:15" x14ac:dyDescent="0.3">
      <c r="A21" s="13" t="s">
        <v>75</v>
      </c>
      <c r="B21" s="13" t="s">
        <v>76</v>
      </c>
      <c r="C21" s="13" t="s">
        <v>36</v>
      </c>
      <c r="D21" s="13" t="s">
        <v>37</v>
      </c>
      <c r="E21" s="13" t="s">
        <v>760</v>
      </c>
      <c r="F21" s="6">
        <v>7500000</v>
      </c>
      <c r="G21" s="19">
        <v>0.18</v>
      </c>
      <c r="H21" s="15">
        <v>18</v>
      </c>
      <c r="I21" s="4">
        <v>45484</v>
      </c>
      <c r="J21" s="13" t="s">
        <v>14</v>
      </c>
      <c r="K21" s="12" t="s">
        <v>797</v>
      </c>
      <c r="L21" s="12" t="s">
        <v>808</v>
      </c>
      <c r="M21" s="7">
        <v>40000000</v>
      </c>
      <c r="N21" s="12" t="str">
        <f t="shared" si="0"/>
        <v>NORMAL</v>
      </c>
      <c r="O21" t="str">
        <f>_xlfn.XLOOKUP(C21,[1]branches!$A$2:$A$11,[1]branches!$D$2:$D$11, "Not specified")</f>
        <v>South-South</v>
      </c>
    </row>
    <row r="22" spans="1:15" x14ac:dyDescent="0.3">
      <c r="A22" s="11" t="s">
        <v>77</v>
      </c>
      <c r="B22" s="11" t="s">
        <v>78</v>
      </c>
      <c r="C22" s="11" t="s">
        <v>46</v>
      </c>
      <c r="D22" s="11" t="s">
        <v>47</v>
      </c>
      <c r="E22" s="11" t="s">
        <v>39</v>
      </c>
      <c r="F22" s="5">
        <v>5000000</v>
      </c>
      <c r="G22" s="18">
        <v>0.18</v>
      </c>
      <c r="H22" s="14">
        <v>36</v>
      </c>
      <c r="I22" s="3">
        <v>45514</v>
      </c>
      <c r="J22" s="11" t="s">
        <v>19</v>
      </c>
      <c r="K22" s="12" t="s">
        <v>799</v>
      </c>
      <c r="L22" s="12" t="s">
        <v>810</v>
      </c>
      <c r="M22" s="7">
        <v>30000000</v>
      </c>
      <c r="N22" s="12" t="str">
        <f t="shared" si="0"/>
        <v>HIGH RISK</v>
      </c>
      <c r="O22" t="str">
        <f>_xlfn.XLOOKUP(C22,[1]branches!$A$2:$A$11,[1]branches!$D$2:$D$11, "Not specified")</f>
        <v>South-West</v>
      </c>
    </row>
    <row r="23" spans="1:15" x14ac:dyDescent="0.3">
      <c r="A23" s="13" t="s">
        <v>79</v>
      </c>
      <c r="B23" s="13" t="s">
        <v>80</v>
      </c>
      <c r="C23" s="13" t="s">
        <v>42</v>
      </c>
      <c r="D23" s="13" t="s">
        <v>43</v>
      </c>
      <c r="E23" s="13" t="s">
        <v>81</v>
      </c>
      <c r="F23" s="6">
        <v>3000000</v>
      </c>
      <c r="G23" s="19">
        <v>0.2</v>
      </c>
      <c r="H23" s="15">
        <v>24</v>
      </c>
      <c r="I23" s="4">
        <v>45390</v>
      </c>
      <c r="J23" s="13" t="s">
        <v>33</v>
      </c>
      <c r="K23" s="12" t="s">
        <v>798</v>
      </c>
      <c r="L23" s="12" t="s">
        <v>809</v>
      </c>
      <c r="M23" s="7">
        <v>40000000</v>
      </c>
      <c r="N23" s="12" t="str">
        <f t="shared" si="0"/>
        <v>NORMAL</v>
      </c>
      <c r="O23" t="str">
        <f>_xlfn.XLOOKUP(C23,[1]branches!$A$2:$A$11,[1]branches!$D$2:$D$11, "Not specified")</f>
        <v>North</v>
      </c>
    </row>
    <row r="24" spans="1:15" x14ac:dyDescent="0.3">
      <c r="A24" s="11" t="s">
        <v>82</v>
      </c>
      <c r="B24" s="11" t="s">
        <v>83</v>
      </c>
      <c r="C24" s="11" t="s">
        <v>60</v>
      </c>
      <c r="D24" s="11" t="s">
        <v>69</v>
      </c>
      <c r="E24" s="11" t="s">
        <v>39</v>
      </c>
      <c r="F24" s="5">
        <v>1500000</v>
      </c>
      <c r="G24" s="18">
        <v>0.22</v>
      </c>
      <c r="H24" s="14">
        <v>6</v>
      </c>
      <c r="I24" s="3">
        <v>45614</v>
      </c>
      <c r="J24" s="11" t="s">
        <v>14</v>
      </c>
      <c r="K24" s="12" t="s">
        <v>802</v>
      </c>
      <c r="L24" s="12" t="s">
        <v>815</v>
      </c>
      <c r="M24" s="7">
        <v>75000000</v>
      </c>
      <c r="N24" s="12" t="str">
        <f t="shared" si="0"/>
        <v>NORMAL</v>
      </c>
      <c r="O24" t="str">
        <f>_xlfn.XLOOKUP(C24,[1]branches!$A$2:$A$11,[1]branches!$D$2:$D$11, "Not specified")</f>
        <v>North</v>
      </c>
    </row>
    <row r="25" spans="1:15" x14ac:dyDescent="0.3">
      <c r="A25" s="13" t="s">
        <v>84</v>
      </c>
      <c r="B25" s="13" t="s">
        <v>21</v>
      </c>
      <c r="C25" s="13" t="s">
        <v>22</v>
      </c>
      <c r="D25" s="13" t="s">
        <v>23</v>
      </c>
      <c r="E25" s="13" t="s">
        <v>81</v>
      </c>
      <c r="F25" s="6">
        <v>1500000</v>
      </c>
      <c r="G25" s="19">
        <v>0.18</v>
      </c>
      <c r="H25" s="15">
        <v>24</v>
      </c>
      <c r="I25" s="4">
        <v>45458</v>
      </c>
      <c r="J25" s="13" t="s">
        <v>14</v>
      </c>
      <c r="K25" s="12" t="s">
        <v>795</v>
      </c>
      <c r="L25" s="12" t="s">
        <v>805</v>
      </c>
      <c r="M25" s="7">
        <v>30000000</v>
      </c>
      <c r="N25" s="12" t="str">
        <f t="shared" si="0"/>
        <v>NORMAL</v>
      </c>
      <c r="O25" t="str">
        <f>_xlfn.XLOOKUP(C25,[1]branches!$A$2:$A$11,[1]branches!$D$2:$D$11, "Not specified")</f>
        <v>North</v>
      </c>
    </row>
    <row r="26" spans="1:15" x14ac:dyDescent="0.3">
      <c r="A26" s="11" t="s">
        <v>85</v>
      </c>
      <c r="B26" s="11" t="s">
        <v>53</v>
      </c>
      <c r="C26" s="11" t="s">
        <v>36</v>
      </c>
      <c r="D26" s="11" t="s">
        <v>37</v>
      </c>
      <c r="E26" s="11" t="s">
        <v>760</v>
      </c>
      <c r="F26" s="5">
        <v>5000000</v>
      </c>
      <c r="G26" s="18">
        <v>0.24</v>
      </c>
      <c r="H26" s="14">
        <v>24</v>
      </c>
      <c r="I26" s="3">
        <v>45335</v>
      </c>
      <c r="J26" s="11" t="s">
        <v>33</v>
      </c>
      <c r="K26" s="12" t="s">
        <v>797</v>
      </c>
      <c r="L26" s="12" t="s">
        <v>808</v>
      </c>
      <c r="M26" s="7">
        <v>40000000</v>
      </c>
      <c r="N26" s="12" t="str">
        <f t="shared" si="0"/>
        <v>NORMAL</v>
      </c>
      <c r="O26" t="str">
        <f>_xlfn.XLOOKUP(C26,[1]branches!$A$2:$A$11,[1]branches!$D$2:$D$11, "Not specified")</f>
        <v>South-South</v>
      </c>
    </row>
    <row r="27" spans="1:15" x14ac:dyDescent="0.3">
      <c r="A27" s="13" t="s">
        <v>86</v>
      </c>
      <c r="B27" s="13" t="s">
        <v>87</v>
      </c>
      <c r="C27" s="13" t="s">
        <v>22</v>
      </c>
      <c r="D27" s="13" t="s">
        <v>30</v>
      </c>
      <c r="E27" s="13" t="s">
        <v>39</v>
      </c>
      <c r="F27" s="6">
        <v>1500000</v>
      </c>
      <c r="G27" s="19">
        <v>0.24</v>
      </c>
      <c r="H27" s="15">
        <v>24</v>
      </c>
      <c r="I27" s="4">
        <v>45365</v>
      </c>
      <c r="J27" s="13" t="s">
        <v>14</v>
      </c>
      <c r="K27" s="12" t="s">
        <v>795</v>
      </c>
      <c r="L27" s="12" t="s">
        <v>807</v>
      </c>
      <c r="M27" s="7">
        <v>30000000</v>
      </c>
      <c r="N27" s="12" t="str">
        <f t="shared" si="0"/>
        <v>NORMAL</v>
      </c>
      <c r="O27" t="str">
        <f>_xlfn.XLOOKUP(C27,[1]branches!$A$2:$A$11,[1]branches!$D$2:$D$11, "Not specified")</f>
        <v>North</v>
      </c>
    </row>
    <row r="28" spans="1:15" x14ac:dyDescent="0.3">
      <c r="A28" s="11" t="s">
        <v>88</v>
      </c>
      <c r="B28" s="11" t="s">
        <v>89</v>
      </c>
      <c r="C28" s="11" t="s">
        <v>36</v>
      </c>
      <c r="D28" s="11" t="s">
        <v>37</v>
      </c>
      <c r="E28" s="11" t="s">
        <v>39</v>
      </c>
      <c r="F28" s="5">
        <v>5000000</v>
      </c>
      <c r="G28" s="18">
        <v>0.24</v>
      </c>
      <c r="H28" s="14">
        <v>6</v>
      </c>
      <c r="I28" s="3">
        <v>45455</v>
      </c>
      <c r="J28" s="11" t="s">
        <v>33</v>
      </c>
      <c r="K28" s="12" t="s">
        <v>797</v>
      </c>
      <c r="L28" s="12" t="s">
        <v>808</v>
      </c>
      <c r="M28" s="7">
        <v>40000000</v>
      </c>
      <c r="N28" s="12" t="str">
        <f t="shared" si="0"/>
        <v>NORMAL</v>
      </c>
      <c r="O28" t="str">
        <f>_xlfn.XLOOKUP(C28,[1]branches!$A$2:$A$11,[1]branches!$D$2:$D$11, "Not specified")</f>
        <v>South-South</v>
      </c>
    </row>
    <row r="29" spans="1:15" x14ac:dyDescent="0.3">
      <c r="A29" s="13" t="s">
        <v>90</v>
      </c>
      <c r="B29" s="13" t="s">
        <v>91</v>
      </c>
      <c r="C29" s="13" t="s">
        <v>60</v>
      </c>
      <c r="D29" s="13" t="s">
        <v>69</v>
      </c>
      <c r="E29" s="13" t="s">
        <v>39</v>
      </c>
      <c r="F29" s="6">
        <v>7500000</v>
      </c>
      <c r="G29" s="19">
        <v>0.2</v>
      </c>
      <c r="H29" s="15">
        <v>6</v>
      </c>
      <c r="I29" s="4">
        <v>45565</v>
      </c>
      <c r="J29" s="13" t="s">
        <v>19</v>
      </c>
      <c r="K29" s="12" t="s">
        <v>802</v>
      </c>
      <c r="L29" s="12" t="s">
        <v>815</v>
      </c>
      <c r="M29" s="7">
        <v>75000000</v>
      </c>
      <c r="N29" s="12" t="str">
        <f t="shared" si="0"/>
        <v>HIGH RISK</v>
      </c>
      <c r="O29" t="str">
        <f>_xlfn.XLOOKUP(C29,[1]branches!$A$2:$A$11,[1]branches!$D$2:$D$11, "Not specified")</f>
        <v>North</v>
      </c>
    </row>
    <row r="30" spans="1:15" x14ac:dyDescent="0.3">
      <c r="A30" s="11" t="s">
        <v>92</v>
      </c>
      <c r="B30" s="11" t="s">
        <v>93</v>
      </c>
      <c r="C30" s="11" t="s">
        <v>46</v>
      </c>
      <c r="D30" s="11" t="s">
        <v>47</v>
      </c>
      <c r="E30" s="11" t="s">
        <v>760</v>
      </c>
      <c r="F30" s="5">
        <v>500000</v>
      </c>
      <c r="G30" s="18">
        <v>0.22</v>
      </c>
      <c r="H30" s="14">
        <v>12</v>
      </c>
      <c r="I30" s="3">
        <v>45506</v>
      </c>
      <c r="J30" s="11" t="s">
        <v>19</v>
      </c>
      <c r="K30" s="12" t="s">
        <v>799</v>
      </c>
      <c r="L30" s="12" t="s">
        <v>810</v>
      </c>
      <c r="M30" s="7">
        <v>30000000</v>
      </c>
      <c r="N30" s="12" t="str">
        <f t="shared" si="0"/>
        <v>AT RISK</v>
      </c>
      <c r="O30" t="str">
        <f>_xlfn.XLOOKUP(C30,[1]branches!$A$2:$A$11,[1]branches!$D$2:$D$11, "Not specified")</f>
        <v>South-West</v>
      </c>
    </row>
    <row r="31" spans="1:15" x14ac:dyDescent="0.3">
      <c r="A31" s="13" t="s">
        <v>94</v>
      </c>
      <c r="B31" s="13" t="s">
        <v>95</v>
      </c>
      <c r="C31" s="13" t="s">
        <v>46</v>
      </c>
      <c r="D31" s="13" t="s">
        <v>96</v>
      </c>
      <c r="E31" s="13" t="s">
        <v>81</v>
      </c>
      <c r="F31" s="6">
        <v>5000000</v>
      </c>
      <c r="G31" s="19">
        <v>0.18</v>
      </c>
      <c r="H31" s="15">
        <v>12</v>
      </c>
      <c r="I31" s="4">
        <v>45433</v>
      </c>
      <c r="J31" s="13" t="s">
        <v>33</v>
      </c>
      <c r="K31" s="12" t="s">
        <v>799</v>
      </c>
      <c r="L31" s="12" t="s">
        <v>817</v>
      </c>
      <c r="M31" s="7">
        <v>40000000</v>
      </c>
      <c r="N31" s="12" t="str">
        <f t="shared" si="0"/>
        <v>NORMAL</v>
      </c>
      <c r="O31" t="str">
        <f>_xlfn.XLOOKUP(C31,[1]branches!$A$2:$A$11,[1]branches!$D$2:$D$11, "Not specified")</f>
        <v>South-West</v>
      </c>
    </row>
    <row r="32" spans="1:15" x14ac:dyDescent="0.3">
      <c r="A32" s="11" t="s">
        <v>97</v>
      </c>
      <c r="B32" s="11" t="s">
        <v>98</v>
      </c>
      <c r="C32" s="11" t="s">
        <v>36</v>
      </c>
      <c r="D32" s="11" t="s">
        <v>37</v>
      </c>
      <c r="E32" s="11" t="s">
        <v>39</v>
      </c>
      <c r="F32" s="5">
        <v>3000000</v>
      </c>
      <c r="G32" s="18">
        <v>0.24</v>
      </c>
      <c r="H32" s="14">
        <v>24</v>
      </c>
      <c r="I32" s="3">
        <v>45494</v>
      </c>
      <c r="J32" s="11" t="s">
        <v>14</v>
      </c>
      <c r="K32" s="12" t="s">
        <v>797</v>
      </c>
      <c r="L32" s="12" t="s">
        <v>808</v>
      </c>
      <c r="M32" s="7">
        <v>40000000</v>
      </c>
      <c r="N32" s="12" t="str">
        <f t="shared" si="0"/>
        <v>NORMAL</v>
      </c>
      <c r="O32" t="str">
        <f>_xlfn.XLOOKUP(C32,[1]branches!$A$2:$A$11,[1]branches!$D$2:$D$11, "Not specified")</f>
        <v>South-South</v>
      </c>
    </row>
    <row r="33" spans="1:15" x14ac:dyDescent="0.3">
      <c r="A33" s="13" t="s">
        <v>99</v>
      </c>
      <c r="B33" s="13" t="s">
        <v>100</v>
      </c>
      <c r="C33" s="13" t="s">
        <v>56</v>
      </c>
      <c r="D33" s="13" t="s">
        <v>57</v>
      </c>
      <c r="E33" s="13" t="s">
        <v>39</v>
      </c>
      <c r="F33" s="6">
        <v>10000000</v>
      </c>
      <c r="G33" s="19">
        <v>0.24</v>
      </c>
      <c r="H33" s="15">
        <v>12</v>
      </c>
      <c r="I33" s="4">
        <v>45588</v>
      </c>
      <c r="J33" s="13" t="s">
        <v>33</v>
      </c>
      <c r="K33" s="12" t="s">
        <v>801</v>
      </c>
      <c r="L33" s="12" t="s">
        <v>812</v>
      </c>
      <c r="M33" s="7">
        <v>50000000</v>
      </c>
      <c r="N33" s="12" t="str">
        <f t="shared" si="0"/>
        <v>NORMAL</v>
      </c>
      <c r="O33" t="str">
        <f>_xlfn.XLOOKUP(C33,[1]branches!$A$2:$A$11,[1]branches!$D$2:$D$11, "Not specified")</f>
        <v>South-West</v>
      </c>
    </row>
    <row r="34" spans="1:15" x14ac:dyDescent="0.3">
      <c r="A34" s="11" t="s">
        <v>101</v>
      </c>
      <c r="B34" s="11" t="s">
        <v>102</v>
      </c>
      <c r="C34" s="11" t="s">
        <v>26</v>
      </c>
      <c r="D34" s="11" t="s">
        <v>27</v>
      </c>
      <c r="E34" s="11" t="s">
        <v>760</v>
      </c>
      <c r="F34" s="5">
        <v>7500000</v>
      </c>
      <c r="G34" s="18">
        <v>0.18</v>
      </c>
      <c r="H34" s="14">
        <v>12</v>
      </c>
      <c r="I34" s="3">
        <v>45589</v>
      </c>
      <c r="J34" s="11" t="s">
        <v>14</v>
      </c>
      <c r="K34" s="12" t="s">
        <v>796</v>
      </c>
      <c r="L34" s="12" t="s">
        <v>806</v>
      </c>
      <c r="M34" s="7">
        <v>50000000</v>
      </c>
      <c r="N34" s="12" t="str">
        <f t="shared" si="0"/>
        <v>NORMAL</v>
      </c>
      <c r="O34" t="str">
        <f>_xlfn.XLOOKUP(C34,[1]branches!$A$2:$A$11,[1]branches!$D$2:$D$11, "Not specified")</f>
        <v>North</v>
      </c>
    </row>
    <row r="35" spans="1:15" x14ac:dyDescent="0.3">
      <c r="A35" s="13" t="s">
        <v>103</v>
      </c>
      <c r="B35" s="13" t="s">
        <v>104</v>
      </c>
      <c r="C35" s="13" t="s">
        <v>60</v>
      </c>
      <c r="D35" s="13" t="s">
        <v>61</v>
      </c>
      <c r="E35" s="13" t="s">
        <v>81</v>
      </c>
      <c r="F35" s="6">
        <v>1000000</v>
      </c>
      <c r="G35" s="19">
        <v>0.18</v>
      </c>
      <c r="H35" s="15">
        <v>36</v>
      </c>
      <c r="I35" s="4">
        <v>45405</v>
      </c>
      <c r="J35" s="13" t="s">
        <v>14</v>
      </c>
      <c r="K35" s="12" t="s">
        <v>802</v>
      </c>
      <c r="L35" s="12" t="s">
        <v>813</v>
      </c>
      <c r="M35" s="7">
        <v>75000000</v>
      </c>
      <c r="N35" s="12" t="str">
        <f t="shared" si="0"/>
        <v>NORMAL</v>
      </c>
      <c r="O35" t="str">
        <f>_xlfn.XLOOKUP(C35,[1]branches!$A$2:$A$11,[1]branches!$D$2:$D$11, "Not specified")</f>
        <v>North</v>
      </c>
    </row>
    <row r="36" spans="1:15" x14ac:dyDescent="0.3">
      <c r="A36" s="11" t="s">
        <v>105</v>
      </c>
      <c r="B36" s="11" t="s">
        <v>106</v>
      </c>
      <c r="C36" s="11" t="s">
        <v>22</v>
      </c>
      <c r="D36" s="11" t="s">
        <v>23</v>
      </c>
      <c r="E36" s="11" t="s">
        <v>760</v>
      </c>
      <c r="F36" s="5">
        <v>7500000</v>
      </c>
      <c r="G36" s="18">
        <v>0.16</v>
      </c>
      <c r="H36" s="14">
        <v>6</v>
      </c>
      <c r="I36" s="3">
        <v>45564</v>
      </c>
      <c r="J36" s="11" t="s">
        <v>33</v>
      </c>
      <c r="K36" s="12" t="s">
        <v>795</v>
      </c>
      <c r="L36" s="12" t="s">
        <v>805</v>
      </c>
      <c r="M36" s="7">
        <v>30000000</v>
      </c>
      <c r="N36" s="12" t="str">
        <f t="shared" si="0"/>
        <v>NORMAL</v>
      </c>
      <c r="O36" t="str">
        <f>_xlfn.XLOOKUP(C36,[1]branches!$A$2:$A$11,[1]branches!$D$2:$D$11, "Not specified")</f>
        <v>North</v>
      </c>
    </row>
    <row r="37" spans="1:15" x14ac:dyDescent="0.3">
      <c r="A37" s="13" t="s">
        <v>107</v>
      </c>
      <c r="B37" s="13" t="s">
        <v>108</v>
      </c>
      <c r="C37" s="13" t="s">
        <v>42</v>
      </c>
      <c r="D37" s="13" t="s">
        <v>43</v>
      </c>
      <c r="E37" s="13" t="s">
        <v>81</v>
      </c>
      <c r="F37" s="6">
        <v>750000</v>
      </c>
      <c r="G37" s="19">
        <v>0.24</v>
      </c>
      <c r="H37" s="15">
        <v>24</v>
      </c>
      <c r="I37" s="4">
        <v>45459</v>
      </c>
      <c r="J37" s="13" t="s">
        <v>14</v>
      </c>
      <c r="K37" s="12" t="s">
        <v>798</v>
      </c>
      <c r="L37" s="12" t="s">
        <v>809</v>
      </c>
      <c r="M37" s="7">
        <v>40000000</v>
      </c>
      <c r="N37" s="12" t="str">
        <f t="shared" si="0"/>
        <v>NORMAL</v>
      </c>
      <c r="O37" t="str">
        <f>_xlfn.XLOOKUP(C37,[1]branches!$A$2:$A$11,[1]branches!$D$2:$D$11, "Not specified")</f>
        <v>North</v>
      </c>
    </row>
    <row r="38" spans="1:15" x14ac:dyDescent="0.3">
      <c r="A38" s="11" t="s">
        <v>109</v>
      </c>
      <c r="B38" s="11" t="s">
        <v>110</v>
      </c>
      <c r="C38" s="11" t="s">
        <v>36</v>
      </c>
      <c r="D38" s="11" t="s">
        <v>37</v>
      </c>
      <c r="E38" s="11" t="s">
        <v>760</v>
      </c>
      <c r="F38" s="5">
        <v>7500000</v>
      </c>
      <c r="G38" s="18">
        <v>0.16</v>
      </c>
      <c r="H38" s="14">
        <v>36</v>
      </c>
      <c r="I38" s="3">
        <v>45350</v>
      </c>
      <c r="J38" s="11" t="s">
        <v>14</v>
      </c>
      <c r="K38" s="12" t="s">
        <v>797</v>
      </c>
      <c r="L38" s="12" t="s">
        <v>808</v>
      </c>
      <c r="M38" s="7">
        <v>40000000</v>
      </c>
      <c r="N38" s="12" t="str">
        <f t="shared" si="0"/>
        <v>NORMAL</v>
      </c>
      <c r="O38" t="str">
        <f>_xlfn.XLOOKUP(C38,[1]branches!$A$2:$A$11,[1]branches!$D$2:$D$11, "Not specified")</f>
        <v>South-South</v>
      </c>
    </row>
    <row r="39" spans="1:15" x14ac:dyDescent="0.3">
      <c r="A39" s="13" t="s">
        <v>111</v>
      </c>
      <c r="B39" s="13" t="s">
        <v>112</v>
      </c>
      <c r="C39" s="13" t="s">
        <v>26</v>
      </c>
      <c r="D39" s="13" t="s">
        <v>27</v>
      </c>
      <c r="E39" s="13" t="s">
        <v>760</v>
      </c>
      <c r="F39" s="6">
        <v>750000</v>
      </c>
      <c r="G39" s="19">
        <v>0.18</v>
      </c>
      <c r="H39" s="15">
        <v>36</v>
      </c>
      <c r="I39" s="4">
        <v>45457</v>
      </c>
      <c r="J39" s="13" t="s">
        <v>14</v>
      </c>
      <c r="K39" s="12" t="s">
        <v>796</v>
      </c>
      <c r="L39" s="12" t="s">
        <v>806</v>
      </c>
      <c r="M39" s="7">
        <v>50000000</v>
      </c>
      <c r="N39" s="12" t="str">
        <f t="shared" si="0"/>
        <v>NORMAL</v>
      </c>
      <c r="O39" t="str">
        <f>_xlfn.XLOOKUP(C39,[1]branches!$A$2:$A$11,[1]branches!$D$2:$D$11, "Not specified")</f>
        <v>North</v>
      </c>
    </row>
    <row r="40" spans="1:15" x14ac:dyDescent="0.3">
      <c r="A40" s="11" t="s">
        <v>113</v>
      </c>
      <c r="B40" s="11" t="s">
        <v>114</v>
      </c>
      <c r="C40" s="11" t="s">
        <v>26</v>
      </c>
      <c r="D40" s="11" t="s">
        <v>66</v>
      </c>
      <c r="E40" s="11" t="s">
        <v>39</v>
      </c>
      <c r="F40" s="5">
        <v>3000000</v>
      </c>
      <c r="G40" s="18">
        <v>0.22</v>
      </c>
      <c r="H40" s="14">
        <v>18</v>
      </c>
      <c r="I40" s="3">
        <v>45489</v>
      </c>
      <c r="J40" s="11" t="s">
        <v>33</v>
      </c>
      <c r="K40" s="12" t="s">
        <v>796</v>
      </c>
      <c r="L40" s="12" t="s">
        <v>814</v>
      </c>
      <c r="M40" s="7">
        <v>60000000</v>
      </c>
      <c r="N40" s="12" t="str">
        <f t="shared" si="0"/>
        <v>NORMAL</v>
      </c>
      <c r="O40" t="str">
        <f>_xlfn.XLOOKUP(C40,[1]branches!$A$2:$A$11,[1]branches!$D$2:$D$11, "Not specified")</f>
        <v>North</v>
      </c>
    </row>
    <row r="41" spans="1:15" x14ac:dyDescent="0.3">
      <c r="A41" s="13" t="s">
        <v>115</v>
      </c>
      <c r="B41" s="13" t="s">
        <v>116</v>
      </c>
      <c r="C41" s="13" t="s">
        <v>46</v>
      </c>
      <c r="D41" s="13" t="s">
        <v>47</v>
      </c>
      <c r="E41" s="13" t="s">
        <v>39</v>
      </c>
      <c r="F41" s="6">
        <v>750000</v>
      </c>
      <c r="G41" s="19">
        <v>0.16</v>
      </c>
      <c r="H41" s="15">
        <v>24</v>
      </c>
      <c r="I41" s="4">
        <v>45462</v>
      </c>
      <c r="J41" s="13" t="s">
        <v>33</v>
      </c>
      <c r="K41" s="12" t="s">
        <v>799</v>
      </c>
      <c r="L41" s="12" t="s">
        <v>810</v>
      </c>
      <c r="M41" s="7">
        <v>30000000</v>
      </c>
      <c r="N41" s="12" t="str">
        <f t="shared" si="0"/>
        <v>NORMAL</v>
      </c>
      <c r="O41" t="str">
        <f>_xlfn.XLOOKUP(C41,[1]branches!$A$2:$A$11,[1]branches!$D$2:$D$11, "Not specified")</f>
        <v>South-West</v>
      </c>
    </row>
    <row r="42" spans="1:15" x14ac:dyDescent="0.3">
      <c r="A42" s="11" t="s">
        <v>117</v>
      </c>
      <c r="B42" s="11" t="s">
        <v>118</v>
      </c>
      <c r="C42" s="11" t="s">
        <v>50</v>
      </c>
      <c r="D42" s="11" t="s">
        <v>51</v>
      </c>
      <c r="E42" s="11" t="s">
        <v>760</v>
      </c>
      <c r="F42" s="5">
        <v>5000000</v>
      </c>
      <c r="G42" s="18">
        <v>0.2</v>
      </c>
      <c r="H42" s="14">
        <v>18</v>
      </c>
      <c r="I42" s="3">
        <v>45605</v>
      </c>
      <c r="J42" s="11" t="s">
        <v>33</v>
      </c>
      <c r="K42" s="12" t="s">
        <v>800</v>
      </c>
      <c r="L42" s="12" t="s">
        <v>811</v>
      </c>
      <c r="M42" s="7">
        <v>75000000</v>
      </c>
      <c r="N42" s="12" t="str">
        <f t="shared" si="0"/>
        <v>NORMAL</v>
      </c>
      <c r="O42" t="str">
        <f>_xlfn.XLOOKUP(C42,[1]branches!$A$2:$A$11,[1]branches!$D$2:$D$11, "Not specified")</f>
        <v>South-West</v>
      </c>
    </row>
    <row r="43" spans="1:15" x14ac:dyDescent="0.3">
      <c r="A43" s="13" t="s">
        <v>119</v>
      </c>
      <c r="B43" s="13" t="s">
        <v>120</v>
      </c>
      <c r="C43" s="13" t="s">
        <v>36</v>
      </c>
      <c r="D43" s="13" t="s">
        <v>121</v>
      </c>
      <c r="E43" s="13" t="s">
        <v>39</v>
      </c>
      <c r="F43" s="6">
        <v>10000000</v>
      </c>
      <c r="G43" s="19">
        <v>0.22</v>
      </c>
      <c r="H43" s="15">
        <v>24</v>
      </c>
      <c r="I43" s="4">
        <v>45582</v>
      </c>
      <c r="J43" s="13" t="s">
        <v>33</v>
      </c>
      <c r="K43" s="12" t="s">
        <v>797</v>
      </c>
      <c r="L43" s="12" t="s">
        <v>818</v>
      </c>
      <c r="M43" s="7">
        <v>30000000</v>
      </c>
      <c r="N43" s="12" t="str">
        <f t="shared" si="0"/>
        <v>NORMAL</v>
      </c>
      <c r="O43" t="str">
        <f>_xlfn.XLOOKUP(C43,[1]branches!$A$2:$A$11,[1]branches!$D$2:$D$11, "Not specified")</f>
        <v>South-South</v>
      </c>
    </row>
    <row r="44" spans="1:15" x14ac:dyDescent="0.3">
      <c r="A44" s="11" t="s">
        <v>122</v>
      </c>
      <c r="B44" s="11" t="s">
        <v>123</v>
      </c>
      <c r="C44" s="11" t="s">
        <v>60</v>
      </c>
      <c r="D44" s="11" t="s">
        <v>61</v>
      </c>
      <c r="E44" s="11" t="s">
        <v>39</v>
      </c>
      <c r="F44" s="5">
        <v>750000</v>
      </c>
      <c r="G44" s="18">
        <v>0.24</v>
      </c>
      <c r="H44" s="14">
        <v>18</v>
      </c>
      <c r="I44" s="3">
        <v>45578</v>
      </c>
      <c r="J44" s="11" t="s">
        <v>33</v>
      </c>
      <c r="K44" s="12" t="s">
        <v>802</v>
      </c>
      <c r="L44" s="12" t="s">
        <v>813</v>
      </c>
      <c r="M44" s="7">
        <v>75000000</v>
      </c>
      <c r="N44" s="12" t="str">
        <f t="shared" si="0"/>
        <v>NORMAL</v>
      </c>
      <c r="O44" t="str">
        <f>_xlfn.XLOOKUP(C44,[1]branches!$A$2:$A$11,[1]branches!$D$2:$D$11, "Not specified")</f>
        <v>North</v>
      </c>
    </row>
    <row r="45" spans="1:15" x14ac:dyDescent="0.3">
      <c r="A45" s="13" t="s">
        <v>124</v>
      </c>
      <c r="B45" s="13" t="s">
        <v>125</v>
      </c>
      <c r="C45" s="13" t="s">
        <v>36</v>
      </c>
      <c r="D45" s="13" t="s">
        <v>121</v>
      </c>
      <c r="E45" s="13" t="s">
        <v>760</v>
      </c>
      <c r="F45" s="6">
        <v>3000000</v>
      </c>
      <c r="G45" s="19">
        <v>0.16</v>
      </c>
      <c r="H45" s="15">
        <v>6</v>
      </c>
      <c r="I45" s="4">
        <v>45474</v>
      </c>
      <c r="J45" s="13" t="s">
        <v>14</v>
      </c>
      <c r="K45" s="12" t="s">
        <v>797</v>
      </c>
      <c r="L45" s="12" t="s">
        <v>818</v>
      </c>
      <c r="M45" s="7">
        <v>30000000</v>
      </c>
      <c r="N45" s="12" t="str">
        <f t="shared" si="0"/>
        <v>NORMAL</v>
      </c>
      <c r="O45" t="str">
        <f>_xlfn.XLOOKUP(C45,[1]branches!$A$2:$A$11,[1]branches!$D$2:$D$11, "Not specified")</f>
        <v>South-South</v>
      </c>
    </row>
    <row r="46" spans="1:15" x14ac:dyDescent="0.3">
      <c r="A46" s="11" t="s">
        <v>126</v>
      </c>
      <c r="B46" s="11" t="s">
        <v>127</v>
      </c>
      <c r="C46" s="11" t="s">
        <v>26</v>
      </c>
      <c r="D46" s="11" t="s">
        <v>66</v>
      </c>
      <c r="E46" s="11" t="s">
        <v>81</v>
      </c>
      <c r="F46" s="5">
        <v>7500000</v>
      </c>
      <c r="G46" s="18">
        <v>0.24</v>
      </c>
      <c r="H46" s="14">
        <v>6</v>
      </c>
      <c r="I46" s="3">
        <v>45346</v>
      </c>
      <c r="J46" s="11" t="s">
        <v>14</v>
      </c>
      <c r="K46" s="12" t="s">
        <v>796</v>
      </c>
      <c r="L46" s="12" t="s">
        <v>814</v>
      </c>
      <c r="M46" s="7">
        <v>60000000</v>
      </c>
      <c r="N46" s="12" t="str">
        <f t="shared" si="0"/>
        <v>NORMAL</v>
      </c>
      <c r="O46" t="str">
        <f>_xlfn.XLOOKUP(C46,[1]branches!$A$2:$A$11,[1]branches!$D$2:$D$11, "Not specified")</f>
        <v>North</v>
      </c>
    </row>
    <row r="47" spans="1:15" x14ac:dyDescent="0.3">
      <c r="A47" s="13" t="s">
        <v>128</v>
      </c>
      <c r="B47" s="13" t="s">
        <v>129</v>
      </c>
      <c r="C47" s="13" t="s">
        <v>60</v>
      </c>
      <c r="D47" s="13" t="s">
        <v>69</v>
      </c>
      <c r="E47" s="13" t="s">
        <v>760</v>
      </c>
      <c r="F47" s="6">
        <v>7500000</v>
      </c>
      <c r="G47" s="19">
        <v>0.18</v>
      </c>
      <c r="H47" s="15">
        <v>24</v>
      </c>
      <c r="I47" s="4">
        <v>45371</v>
      </c>
      <c r="J47" s="13" t="s">
        <v>19</v>
      </c>
      <c r="K47" s="12" t="s">
        <v>802</v>
      </c>
      <c r="L47" s="12" t="s">
        <v>815</v>
      </c>
      <c r="M47" s="7">
        <v>75000000</v>
      </c>
      <c r="N47" s="12" t="str">
        <f t="shared" si="0"/>
        <v>HIGH RISK</v>
      </c>
      <c r="O47" t="str">
        <f>_xlfn.XLOOKUP(C47,[1]branches!$A$2:$A$11,[1]branches!$D$2:$D$11, "Not specified")</f>
        <v>North</v>
      </c>
    </row>
    <row r="48" spans="1:15" x14ac:dyDescent="0.3">
      <c r="A48" s="11" t="s">
        <v>130</v>
      </c>
      <c r="B48" s="11" t="s">
        <v>131</v>
      </c>
      <c r="C48" s="11" t="s">
        <v>60</v>
      </c>
      <c r="D48" s="11" t="s">
        <v>69</v>
      </c>
      <c r="E48" s="11" t="s">
        <v>39</v>
      </c>
      <c r="F48" s="5">
        <v>10000000</v>
      </c>
      <c r="G48" s="18">
        <v>0.16</v>
      </c>
      <c r="H48" s="14">
        <v>24</v>
      </c>
      <c r="I48" s="3">
        <v>45368</v>
      </c>
      <c r="J48" s="11" t="s">
        <v>14</v>
      </c>
      <c r="K48" s="12" t="s">
        <v>802</v>
      </c>
      <c r="L48" s="12" t="s">
        <v>815</v>
      </c>
      <c r="M48" s="7">
        <v>75000000</v>
      </c>
      <c r="N48" s="12" t="str">
        <f t="shared" si="0"/>
        <v>NORMAL</v>
      </c>
      <c r="O48" t="str">
        <f>_xlfn.XLOOKUP(C48,[1]branches!$A$2:$A$11,[1]branches!$D$2:$D$11, "Not specified")</f>
        <v>North</v>
      </c>
    </row>
    <row r="49" spans="1:15" x14ac:dyDescent="0.3">
      <c r="A49" s="13" t="s">
        <v>132</v>
      </c>
      <c r="B49" s="13" t="s">
        <v>133</v>
      </c>
      <c r="C49" s="13" t="s">
        <v>50</v>
      </c>
      <c r="D49" s="13" t="s">
        <v>134</v>
      </c>
      <c r="E49" s="13" t="s">
        <v>39</v>
      </c>
      <c r="F49" s="6">
        <v>1500000</v>
      </c>
      <c r="G49" s="19">
        <v>0.16</v>
      </c>
      <c r="H49" s="15">
        <v>18</v>
      </c>
      <c r="I49" s="4">
        <v>45652</v>
      </c>
      <c r="J49" s="13" t="s">
        <v>33</v>
      </c>
      <c r="K49" s="12" t="s">
        <v>800</v>
      </c>
      <c r="L49" s="12" t="s">
        <v>819</v>
      </c>
      <c r="M49" s="7">
        <v>75000000</v>
      </c>
      <c r="N49" s="12" t="str">
        <f t="shared" si="0"/>
        <v>NORMAL</v>
      </c>
      <c r="O49" t="str">
        <f>_xlfn.XLOOKUP(C49,[1]branches!$A$2:$A$11,[1]branches!$D$2:$D$11, "Not specified")</f>
        <v>South-West</v>
      </c>
    </row>
    <row r="50" spans="1:15" x14ac:dyDescent="0.3">
      <c r="A50" s="11" t="s">
        <v>135</v>
      </c>
      <c r="B50" s="11" t="s">
        <v>41</v>
      </c>
      <c r="C50" s="11" t="s">
        <v>42</v>
      </c>
      <c r="D50" s="11" t="s">
        <v>43</v>
      </c>
      <c r="E50" s="11" t="s">
        <v>39</v>
      </c>
      <c r="F50" s="5">
        <v>5000000</v>
      </c>
      <c r="G50" s="18">
        <v>0.24</v>
      </c>
      <c r="H50" s="14">
        <v>18</v>
      </c>
      <c r="I50" s="3">
        <v>45613</v>
      </c>
      <c r="J50" s="11" t="s">
        <v>14</v>
      </c>
      <c r="K50" s="12" t="s">
        <v>798</v>
      </c>
      <c r="L50" s="12" t="s">
        <v>809</v>
      </c>
      <c r="M50" s="7">
        <v>40000000</v>
      </c>
      <c r="N50" s="12" t="str">
        <f t="shared" si="0"/>
        <v>NORMAL</v>
      </c>
      <c r="O50" t="str">
        <f>_xlfn.XLOOKUP(C50,[1]branches!$A$2:$A$11,[1]branches!$D$2:$D$11, "Not specified")</f>
        <v>North</v>
      </c>
    </row>
    <row r="51" spans="1:15" x14ac:dyDescent="0.3">
      <c r="A51" s="13" t="s">
        <v>136</v>
      </c>
      <c r="B51" s="13" t="s">
        <v>137</v>
      </c>
      <c r="C51" s="13" t="s">
        <v>46</v>
      </c>
      <c r="D51" s="13" t="s">
        <v>47</v>
      </c>
      <c r="E51" s="13" t="s">
        <v>39</v>
      </c>
      <c r="F51" s="6">
        <v>7500000</v>
      </c>
      <c r="G51" s="19">
        <v>0.2</v>
      </c>
      <c r="H51" s="15">
        <v>36</v>
      </c>
      <c r="I51" s="4">
        <v>45484</v>
      </c>
      <c r="J51" s="13" t="s">
        <v>14</v>
      </c>
      <c r="K51" s="12" t="s">
        <v>799</v>
      </c>
      <c r="L51" s="12" t="s">
        <v>810</v>
      </c>
      <c r="M51" s="7">
        <v>30000000</v>
      </c>
      <c r="N51" s="12" t="str">
        <f t="shared" si="0"/>
        <v>NORMAL</v>
      </c>
      <c r="O51" t="str">
        <f>_xlfn.XLOOKUP(C51,[1]branches!$A$2:$A$11,[1]branches!$D$2:$D$11, "Not specified")</f>
        <v>South-West</v>
      </c>
    </row>
    <row r="52" spans="1:15" x14ac:dyDescent="0.3">
      <c r="A52" s="11" t="s">
        <v>138</v>
      </c>
      <c r="B52" s="11" t="s">
        <v>32</v>
      </c>
      <c r="C52" s="11" t="s">
        <v>22</v>
      </c>
      <c r="D52" s="11" t="s">
        <v>30</v>
      </c>
      <c r="E52" s="11" t="s">
        <v>81</v>
      </c>
      <c r="F52" s="5">
        <v>500000</v>
      </c>
      <c r="G52" s="18">
        <v>0.16</v>
      </c>
      <c r="H52" s="14">
        <v>12</v>
      </c>
      <c r="I52" s="3">
        <v>45550</v>
      </c>
      <c r="J52" s="11" t="s">
        <v>14</v>
      </c>
      <c r="K52" s="12" t="s">
        <v>795</v>
      </c>
      <c r="L52" s="12" t="s">
        <v>807</v>
      </c>
      <c r="M52" s="7">
        <v>30000000</v>
      </c>
      <c r="N52" s="12" t="str">
        <f t="shared" si="0"/>
        <v>NORMAL</v>
      </c>
      <c r="O52" t="str">
        <f>_xlfn.XLOOKUP(C52,[1]branches!$A$2:$A$11,[1]branches!$D$2:$D$11, "Not specified")</f>
        <v>North</v>
      </c>
    </row>
    <row r="53" spans="1:15" x14ac:dyDescent="0.3">
      <c r="A53" s="13" t="s">
        <v>139</v>
      </c>
      <c r="B53" s="13" t="s">
        <v>140</v>
      </c>
      <c r="C53" s="13" t="s">
        <v>46</v>
      </c>
      <c r="D53" s="13" t="s">
        <v>47</v>
      </c>
      <c r="E53" s="13" t="s">
        <v>81</v>
      </c>
      <c r="F53" s="6">
        <v>10000000</v>
      </c>
      <c r="G53" s="19">
        <v>0.2</v>
      </c>
      <c r="H53" s="15">
        <v>24</v>
      </c>
      <c r="I53" s="4">
        <v>45643</v>
      </c>
      <c r="J53" s="13" t="s">
        <v>33</v>
      </c>
      <c r="K53" s="12" t="s">
        <v>799</v>
      </c>
      <c r="L53" s="12" t="s">
        <v>810</v>
      </c>
      <c r="M53" s="7">
        <v>30000000</v>
      </c>
      <c r="N53" s="12" t="str">
        <f t="shared" si="0"/>
        <v>NORMAL</v>
      </c>
      <c r="O53" t="str">
        <f>_xlfn.XLOOKUP(C53,[1]branches!$A$2:$A$11,[1]branches!$D$2:$D$11, "Not specified")</f>
        <v>South-West</v>
      </c>
    </row>
    <row r="54" spans="1:15" x14ac:dyDescent="0.3">
      <c r="A54" s="11" t="s">
        <v>141</v>
      </c>
      <c r="B54" s="11" t="s">
        <v>142</v>
      </c>
      <c r="C54" s="11" t="s">
        <v>60</v>
      </c>
      <c r="D54" s="11" t="s">
        <v>61</v>
      </c>
      <c r="E54" s="11" t="s">
        <v>760</v>
      </c>
      <c r="F54" s="5">
        <v>2000000</v>
      </c>
      <c r="G54" s="18">
        <v>0.22</v>
      </c>
      <c r="H54" s="14">
        <v>12</v>
      </c>
      <c r="I54" s="3">
        <v>45306</v>
      </c>
      <c r="J54" s="11" t="s">
        <v>33</v>
      </c>
      <c r="K54" s="12" t="s">
        <v>802</v>
      </c>
      <c r="L54" s="12" t="s">
        <v>813</v>
      </c>
      <c r="M54" s="7">
        <v>75000000</v>
      </c>
      <c r="N54" s="12" t="str">
        <f t="shared" si="0"/>
        <v>NORMAL</v>
      </c>
      <c r="O54" t="str">
        <f>_xlfn.XLOOKUP(C54,[1]branches!$A$2:$A$11,[1]branches!$D$2:$D$11, "Not specified")</f>
        <v>North</v>
      </c>
    </row>
    <row r="55" spans="1:15" x14ac:dyDescent="0.3">
      <c r="A55" s="13" t="s">
        <v>143</v>
      </c>
      <c r="B55" s="13" t="s">
        <v>144</v>
      </c>
      <c r="C55" s="13" t="s">
        <v>12</v>
      </c>
      <c r="D55" s="13" t="s">
        <v>145</v>
      </c>
      <c r="E55" s="13" t="s">
        <v>81</v>
      </c>
      <c r="F55" s="6">
        <v>1000000</v>
      </c>
      <c r="G55" s="19">
        <v>0.24</v>
      </c>
      <c r="H55" s="15">
        <v>6</v>
      </c>
      <c r="I55" s="4">
        <v>45596</v>
      </c>
      <c r="J55" s="13" t="s">
        <v>33</v>
      </c>
      <c r="K55" s="12" t="s">
        <v>793</v>
      </c>
      <c r="L55" s="12" t="s">
        <v>820</v>
      </c>
      <c r="M55" s="7">
        <v>40000000</v>
      </c>
      <c r="N55" s="12" t="str">
        <f t="shared" si="0"/>
        <v>NORMAL</v>
      </c>
      <c r="O55" t="str">
        <f>_xlfn.XLOOKUP(C55,[1]branches!$A$2:$A$11,[1]branches!$D$2:$D$11, "Not specified")</f>
        <v>North</v>
      </c>
    </row>
    <row r="56" spans="1:15" x14ac:dyDescent="0.3">
      <c r="A56" s="11" t="s">
        <v>146</v>
      </c>
      <c r="B56" s="11" t="s">
        <v>147</v>
      </c>
      <c r="C56" s="11" t="s">
        <v>17</v>
      </c>
      <c r="D56" s="11" t="s">
        <v>148</v>
      </c>
      <c r="E56" s="11" t="s">
        <v>760</v>
      </c>
      <c r="F56" s="5">
        <v>7500000</v>
      </c>
      <c r="G56" s="18">
        <v>0.18</v>
      </c>
      <c r="H56" s="14">
        <v>36</v>
      </c>
      <c r="I56" s="3">
        <v>45647</v>
      </c>
      <c r="J56" s="11" t="s">
        <v>14</v>
      </c>
      <c r="K56" s="12" t="s">
        <v>794</v>
      </c>
      <c r="L56" s="12" t="s">
        <v>821</v>
      </c>
      <c r="M56" s="7">
        <v>40000000</v>
      </c>
      <c r="N56" s="12" t="str">
        <f t="shared" si="0"/>
        <v>NORMAL</v>
      </c>
      <c r="O56" t="str">
        <f>_xlfn.XLOOKUP(C56,[1]branches!$A$2:$A$11,[1]branches!$D$2:$D$11, "Not specified")</f>
        <v>South-South</v>
      </c>
    </row>
    <row r="57" spans="1:15" x14ac:dyDescent="0.3">
      <c r="A57" s="13" t="s">
        <v>149</v>
      </c>
      <c r="B57" s="13" t="s">
        <v>150</v>
      </c>
      <c r="C57" s="13" t="s">
        <v>22</v>
      </c>
      <c r="D57" s="13" t="s">
        <v>30</v>
      </c>
      <c r="E57" s="13" t="s">
        <v>81</v>
      </c>
      <c r="F57" s="6">
        <v>3000000</v>
      </c>
      <c r="G57" s="19">
        <v>0.24</v>
      </c>
      <c r="H57" s="15">
        <v>18</v>
      </c>
      <c r="I57" s="4">
        <v>45365</v>
      </c>
      <c r="J57" s="13" t="s">
        <v>14</v>
      </c>
      <c r="K57" s="12" t="s">
        <v>795</v>
      </c>
      <c r="L57" s="12" t="s">
        <v>807</v>
      </c>
      <c r="M57" s="7">
        <v>30000000</v>
      </c>
      <c r="N57" s="12" t="str">
        <f t="shared" si="0"/>
        <v>NORMAL</v>
      </c>
      <c r="O57" t="str">
        <f>_xlfn.XLOOKUP(C57,[1]branches!$A$2:$A$11,[1]branches!$D$2:$D$11, "Not specified")</f>
        <v>North</v>
      </c>
    </row>
    <row r="58" spans="1:15" x14ac:dyDescent="0.3">
      <c r="A58" s="11" t="s">
        <v>151</v>
      </c>
      <c r="B58" s="11" t="s">
        <v>104</v>
      </c>
      <c r="C58" s="11" t="s">
        <v>60</v>
      </c>
      <c r="D58" s="11" t="s">
        <v>61</v>
      </c>
      <c r="E58" s="11" t="s">
        <v>39</v>
      </c>
      <c r="F58" s="5">
        <v>5000000</v>
      </c>
      <c r="G58" s="18">
        <v>0.24</v>
      </c>
      <c r="H58" s="14">
        <v>24</v>
      </c>
      <c r="I58" s="3">
        <v>45501</v>
      </c>
      <c r="J58" s="11" t="s">
        <v>33</v>
      </c>
      <c r="K58" s="12" t="s">
        <v>802</v>
      </c>
      <c r="L58" s="12" t="s">
        <v>813</v>
      </c>
      <c r="M58" s="7">
        <v>75000000</v>
      </c>
      <c r="N58" s="12" t="str">
        <f t="shared" si="0"/>
        <v>NORMAL</v>
      </c>
      <c r="O58" t="str">
        <f>_xlfn.XLOOKUP(C58,[1]branches!$A$2:$A$11,[1]branches!$D$2:$D$11, "Not specified")</f>
        <v>North</v>
      </c>
    </row>
    <row r="59" spans="1:15" x14ac:dyDescent="0.3">
      <c r="A59" s="13" t="s">
        <v>152</v>
      </c>
      <c r="B59" s="13" t="s">
        <v>153</v>
      </c>
      <c r="C59" s="13" t="s">
        <v>56</v>
      </c>
      <c r="D59" s="13" t="s">
        <v>57</v>
      </c>
      <c r="E59" s="13" t="s">
        <v>760</v>
      </c>
      <c r="F59" s="6">
        <v>7500000</v>
      </c>
      <c r="G59" s="19">
        <v>0.2</v>
      </c>
      <c r="H59" s="15">
        <v>6</v>
      </c>
      <c r="I59" s="4">
        <v>45603</v>
      </c>
      <c r="J59" s="13" t="s">
        <v>14</v>
      </c>
      <c r="K59" s="12" t="s">
        <v>801</v>
      </c>
      <c r="L59" s="12" t="s">
        <v>812</v>
      </c>
      <c r="M59" s="7">
        <v>50000000</v>
      </c>
      <c r="N59" s="12" t="str">
        <f t="shared" si="0"/>
        <v>NORMAL</v>
      </c>
      <c r="O59" t="str">
        <f>_xlfn.XLOOKUP(C59,[1]branches!$A$2:$A$11,[1]branches!$D$2:$D$11, "Not specified")</f>
        <v>South-West</v>
      </c>
    </row>
    <row r="60" spans="1:15" x14ac:dyDescent="0.3">
      <c r="A60" s="11" t="s">
        <v>154</v>
      </c>
      <c r="B60" s="11" t="s">
        <v>155</v>
      </c>
      <c r="C60" s="11" t="s">
        <v>36</v>
      </c>
      <c r="D60" s="11" t="s">
        <v>121</v>
      </c>
      <c r="E60" s="11" t="s">
        <v>760</v>
      </c>
      <c r="F60" s="5">
        <v>7500000</v>
      </c>
      <c r="G60" s="18">
        <v>0.16</v>
      </c>
      <c r="H60" s="14">
        <v>12</v>
      </c>
      <c r="I60" s="3">
        <v>45317</v>
      </c>
      <c r="J60" s="11" t="s">
        <v>33</v>
      </c>
      <c r="K60" s="12" t="s">
        <v>797</v>
      </c>
      <c r="L60" s="12" t="s">
        <v>818</v>
      </c>
      <c r="M60" s="7">
        <v>30000000</v>
      </c>
      <c r="N60" s="12" t="str">
        <f t="shared" si="0"/>
        <v>NORMAL</v>
      </c>
      <c r="O60" t="str">
        <f>_xlfn.XLOOKUP(C60,[1]branches!$A$2:$A$11,[1]branches!$D$2:$D$11, "Not specified")</f>
        <v>South-South</v>
      </c>
    </row>
    <row r="61" spans="1:15" x14ac:dyDescent="0.3">
      <c r="A61" s="13" t="s">
        <v>156</v>
      </c>
      <c r="B61" s="13" t="s">
        <v>76</v>
      </c>
      <c r="C61" s="13" t="s">
        <v>36</v>
      </c>
      <c r="D61" s="13" t="s">
        <v>37</v>
      </c>
      <c r="E61" s="13" t="s">
        <v>81</v>
      </c>
      <c r="F61" s="6">
        <v>2000000</v>
      </c>
      <c r="G61" s="19">
        <v>0.2</v>
      </c>
      <c r="H61" s="15">
        <v>24</v>
      </c>
      <c r="I61" s="4">
        <v>45377</v>
      </c>
      <c r="J61" s="13" t="s">
        <v>14</v>
      </c>
      <c r="K61" s="12" t="s">
        <v>797</v>
      </c>
      <c r="L61" s="12" t="s">
        <v>808</v>
      </c>
      <c r="M61" s="7">
        <v>40000000</v>
      </c>
      <c r="N61" s="12" t="str">
        <f t="shared" si="0"/>
        <v>NORMAL</v>
      </c>
      <c r="O61" t="str">
        <f>_xlfn.XLOOKUP(C61,[1]branches!$A$2:$A$11,[1]branches!$D$2:$D$11, "Not specified")</f>
        <v>South-South</v>
      </c>
    </row>
    <row r="62" spans="1:15" x14ac:dyDescent="0.3">
      <c r="A62" s="11" t="s">
        <v>157</v>
      </c>
      <c r="B62" s="11" t="s">
        <v>158</v>
      </c>
      <c r="C62" s="11" t="s">
        <v>60</v>
      </c>
      <c r="D62" s="11" t="s">
        <v>61</v>
      </c>
      <c r="E62" s="11" t="s">
        <v>39</v>
      </c>
      <c r="F62" s="5">
        <v>1000000</v>
      </c>
      <c r="G62" s="18">
        <v>0.16</v>
      </c>
      <c r="H62" s="14">
        <v>6</v>
      </c>
      <c r="I62" s="3">
        <v>45547</v>
      </c>
      <c r="J62" s="11" t="s">
        <v>19</v>
      </c>
      <c r="K62" s="12" t="s">
        <v>802</v>
      </c>
      <c r="L62" s="12" t="s">
        <v>813</v>
      </c>
      <c r="M62" s="7">
        <v>75000000</v>
      </c>
      <c r="N62" s="12" t="str">
        <f t="shared" si="0"/>
        <v>AT RISK</v>
      </c>
      <c r="O62" t="str">
        <f>_xlfn.XLOOKUP(C62,[1]branches!$A$2:$A$11,[1]branches!$D$2:$D$11, "Not specified")</f>
        <v>North</v>
      </c>
    </row>
    <row r="63" spans="1:15" x14ac:dyDescent="0.3">
      <c r="A63" s="13" t="s">
        <v>159</v>
      </c>
      <c r="B63" s="13" t="s">
        <v>160</v>
      </c>
      <c r="C63" s="13" t="s">
        <v>42</v>
      </c>
      <c r="D63" s="13" t="s">
        <v>43</v>
      </c>
      <c r="E63" s="13" t="s">
        <v>81</v>
      </c>
      <c r="F63" s="6">
        <v>750000</v>
      </c>
      <c r="G63" s="19">
        <v>0.24</v>
      </c>
      <c r="H63" s="15">
        <v>12</v>
      </c>
      <c r="I63" s="4">
        <v>45335</v>
      </c>
      <c r="J63" s="13" t="s">
        <v>19</v>
      </c>
      <c r="K63" s="12" t="s">
        <v>798</v>
      </c>
      <c r="L63" s="12" t="s">
        <v>809</v>
      </c>
      <c r="M63" s="7">
        <v>40000000</v>
      </c>
      <c r="N63" s="12" t="str">
        <f t="shared" si="0"/>
        <v>AT RISK</v>
      </c>
      <c r="O63" t="str">
        <f>_xlfn.XLOOKUP(C63,[1]branches!$A$2:$A$11,[1]branches!$D$2:$D$11, "Not specified")</f>
        <v>North</v>
      </c>
    </row>
    <row r="64" spans="1:15" x14ac:dyDescent="0.3">
      <c r="A64" s="11" t="s">
        <v>161</v>
      </c>
      <c r="B64" s="11" t="s">
        <v>162</v>
      </c>
      <c r="C64" s="11" t="s">
        <v>36</v>
      </c>
      <c r="D64" s="11" t="s">
        <v>121</v>
      </c>
      <c r="E64" s="11" t="s">
        <v>760</v>
      </c>
      <c r="F64" s="5">
        <v>1000000</v>
      </c>
      <c r="G64" s="18">
        <v>0.16</v>
      </c>
      <c r="H64" s="14">
        <v>36</v>
      </c>
      <c r="I64" s="3">
        <v>45414</v>
      </c>
      <c r="J64" s="11" t="s">
        <v>33</v>
      </c>
      <c r="K64" s="12" t="s">
        <v>797</v>
      </c>
      <c r="L64" s="12" t="s">
        <v>818</v>
      </c>
      <c r="M64" s="7">
        <v>30000000</v>
      </c>
      <c r="N64" s="12" t="str">
        <f t="shared" si="0"/>
        <v>NORMAL</v>
      </c>
      <c r="O64" t="str">
        <f>_xlfn.XLOOKUP(C64,[1]branches!$A$2:$A$11,[1]branches!$D$2:$D$11, "Not specified")</f>
        <v>South-South</v>
      </c>
    </row>
    <row r="65" spans="1:15" x14ac:dyDescent="0.3">
      <c r="A65" s="13" t="s">
        <v>163</v>
      </c>
      <c r="B65" s="13" t="s">
        <v>164</v>
      </c>
      <c r="C65" s="13" t="s">
        <v>26</v>
      </c>
      <c r="D65" s="13" t="s">
        <v>66</v>
      </c>
      <c r="E65" s="13" t="s">
        <v>760</v>
      </c>
      <c r="F65" s="6">
        <v>750000</v>
      </c>
      <c r="G65" s="19">
        <v>0.18</v>
      </c>
      <c r="H65" s="15">
        <v>6</v>
      </c>
      <c r="I65" s="4">
        <v>45610</v>
      </c>
      <c r="J65" s="13" t="s">
        <v>33</v>
      </c>
      <c r="K65" s="12" t="s">
        <v>796</v>
      </c>
      <c r="L65" s="12" t="s">
        <v>814</v>
      </c>
      <c r="M65" s="7">
        <v>60000000</v>
      </c>
      <c r="N65" s="12" t="str">
        <f t="shared" si="0"/>
        <v>NORMAL</v>
      </c>
      <c r="O65" t="str">
        <f>_xlfn.XLOOKUP(C65,[1]branches!$A$2:$A$11,[1]branches!$D$2:$D$11, "Not specified")</f>
        <v>North</v>
      </c>
    </row>
    <row r="66" spans="1:15" x14ac:dyDescent="0.3">
      <c r="A66" s="11" t="s">
        <v>165</v>
      </c>
      <c r="B66" s="11" t="s">
        <v>166</v>
      </c>
      <c r="C66" s="11" t="s">
        <v>42</v>
      </c>
      <c r="D66" s="11" t="s">
        <v>43</v>
      </c>
      <c r="E66" s="11" t="s">
        <v>760</v>
      </c>
      <c r="F66" s="5">
        <v>1500000</v>
      </c>
      <c r="G66" s="18">
        <v>0.18</v>
      </c>
      <c r="H66" s="14">
        <v>18</v>
      </c>
      <c r="I66" s="3">
        <v>45299</v>
      </c>
      <c r="J66" s="11" t="s">
        <v>14</v>
      </c>
      <c r="K66" s="12" t="s">
        <v>798</v>
      </c>
      <c r="L66" s="12" t="s">
        <v>809</v>
      </c>
      <c r="M66" s="7">
        <v>40000000</v>
      </c>
      <c r="N66" s="12" t="str">
        <f t="shared" ref="N66:N129" si="1">IF(AND(J66="Defaulted",F66&gt;2000000), "HIGH RISK", IF(J66="Defaulted", "AT RISK", "NORMAL"))</f>
        <v>NORMAL</v>
      </c>
      <c r="O66" t="str">
        <f>_xlfn.XLOOKUP(C66,[1]branches!$A$2:$A$11,[1]branches!$D$2:$D$11, "Not specified")</f>
        <v>North</v>
      </c>
    </row>
    <row r="67" spans="1:15" x14ac:dyDescent="0.3">
      <c r="A67" s="13" t="s">
        <v>167</v>
      </c>
      <c r="B67" s="13" t="s">
        <v>142</v>
      </c>
      <c r="C67" s="13" t="s">
        <v>60</v>
      </c>
      <c r="D67" s="13" t="s">
        <v>61</v>
      </c>
      <c r="E67" s="13" t="s">
        <v>760</v>
      </c>
      <c r="F67" s="6">
        <v>7500000</v>
      </c>
      <c r="G67" s="19">
        <v>0.22</v>
      </c>
      <c r="H67" s="15">
        <v>18</v>
      </c>
      <c r="I67" s="4">
        <v>45446</v>
      </c>
      <c r="J67" s="13" t="s">
        <v>14</v>
      </c>
      <c r="K67" s="12" t="s">
        <v>802</v>
      </c>
      <c r="L67" s="12" t="s">
        <v>813</v>
      </c>
      <c r="M67" s="7">
        <v>75000000</v>
      </c>
      <c r="N67" s="12" t="str">
        <f t="shared" si="1"/>
        <v>NORMAL</v>
      </c>
      <c r="O67" t="str">
        <f>_xlfn.XLOOKUP(C67,[1]branches!$A$2:$A$11,[1]branches!$D$2:$D$11, "Not specified")</f>
        <v>North</v>
      </c>
    </row>
    <row r="68" spans="1:15" x14ac:dyDescent="0.3">
      <c r="A68" s="11" t="s">
        <v>168</v>
      </c>
      <c r="B68" s="11" t="s">
        <v>169</v>
      </c>
      <c r="C68" s="11" t="s">
        <v>36</v>
      </c>
      <c r="D68" s="11" t="s">
        <v>37</v>
      </c>
      <c r="E68" s="11" t="s">
        <v>760</v>
      </c>
      <c r="F68" s="5">
        <v>500000</v>
      </c>
      <c r="G68" s="18">
        <v>0.22</v>
      </c>
      <c r="H68" s="14">
        <v>12</v>
      </c>
      <c r="I68" s="3">
        <v>45346</v>
      </c>
      <c r="J68" s="11" t="s">
        <v>14</v>
      </c>
      <c r="K68" s="12" t="s">
        <v>797</v>
      </c>
      <c r="L68" s="12" t="s">
        <v>808</v>
      </c>
      <c r="M68" s="7">
        <v>40000000</v>
      </c>
      <c r="N68" s="12" t="str">
        <f t="shared" si="1"/>
        <v>NORMAL</v>
      </c>
      <c r="O68" t="str">
        <f>_xlfn.XLOOKUP(C68,[1]branches!$A$2:$A$11,[1]branches!$D$2:$D$11, "Not specified")</f>
        <v>South-South</v>
      </c>
    </row>
    <row r="69" spans="1:15" x14ac:dyDescent="0.3">
      <c r="A69" s="13" t="s">
        <v>170</v>
      </c>
      <c r="B69" s="13" t="s">
        <v>171</v>
      </c>
      <c r="C69" s="13" t="s">
        <v>60</v>
      </c>
      <c r="D69" s="13" t="s">
        <v>61</v>
      </c>
      <c r="E69" s="13" t="s">
        <v>760</v>
      </c>
      <c r="F69" s="6">
        <v>7500000</v>
      </c>
      <c r="G69" s="19">
        <v>0.24</v>
      </c>
      <c r="H69" s="15">
        <v>24</v>
      </c>
      <c r="I69" s="4">
        <v>45611</v>
      </c>
      <c r="J69" s="13" t="s">
        <v>14</v>
      </c>
      <c r="K69" s="12" t="s">
        <v>802</v>
      </c>
      <c r="L69" s="12" t="s">
        <v>813</v>
      </c>
      <c r="M69" s="7">
        <v>75000000</v>
      </c>
      <c r="N69" s="12" t="str">
        <f t="shared" si="1"/>
        <v>NORMAL</v>
      </c>
      <c r="O69" t="str">
        <f>_xlfn.XLOOKUP(C69,[1]branches!$A$2:$A$11,[1]branches!$D$2:$D$11, "Not specified")</f>
        <v>North</v>
      </c>
    </row>
    <row r="70" spans="1:15" x14ac:dyDescent="0.3">
      <c r="A70" s="11" t="s">
        <v>172</v>
      </c>
      <c r="B70" s="11" t="s">
        <v>173</v>
      </c>
      <c r="C70" s="11" t="s">
        <v>17</v>
      </c>
      <c r="D70" s="11" t="s">
        <v>18</v>
      </c>
      <c r="E70" s="11" t="s">
        <v>81</v>
      </c>
      <c r="F70" s="5">
        <v>10000000</v>
      </c>
      <c r="G70" s="18">
        <v>0.16</v>
      </c>
      <c r="H70" s="14">
        <v>36</v>
      </c>
      <c r="I70" s="3">
        <v>45347</v>
      </c>
      <c r="J70" s="11" t="s">
        <v>14</v>
      </c>
      <c r="K70" s="12" t="s">
        <v>794</v>
      </c>
      <c r="L70" s="12" t="s">
        <v>804</v>
      </c>
      <c r="M70" s="7">
        <v>75000000</v>
      </c>
      <c r="N70" s="12" t="str">
        <f t="shared" si="1"/>
        <v>NORMAL</v>
      </c>
      <c r="O70" t="str">
        <f>_xlfn.XLOOKUP(C70,[1]branches!$A$2:$A$11,[1]branches!$D$2:$D$11, "Not specified")</f>
        <v>South-South</v>
      </c>
    </row>
    <row r="71" spans="1:15" x14ac:dyDescent="0.3">
      <c r="A71" s="13" t="s">
        <v>174</v>
      </c>
      <c r="B71" s="13" t="s">
        <v>175</v>
      </c>
      <c r="C71" s="13" t="s">
        <v>50</v>
      </c>
      <c r="D71" s="13" t="s">
        <v>51</v>
      </c>
      <c r="E71" s="13" t="s">
        <v>39</v>
      </c>
      <c r="F71" s="6">
        <v>750000</v>
      </c>
      <c r="G71" s="19">
        <v>0.16</v>
      </c>
      <c r="H71" s="15">
        <v>24</v>
      </c>
      <c r="I71" s="4">
        <v>45393</v>
      </c>
      <c r="J71" s="13" t="s">
        <v>14</v>
      </c>
      <c r="K71" s="12" t="s">
        <v>800</v>
      </c>
      <c r="L71" s="12" t="s">
        <v>811</v>
      </c>
      <c r="M71" s="7">
        <v>75000000</v>
      </c>
      <c r="N71" s="12" t="str">
        <f t="shared" si="1"/>
        <v>NORMAL</v>
      </c>
      <c r="O71" t="str">
        <f>_xlfn.XLOOKUP(C71,[1]branches!$A$2:$A$11,[1]branches!$D$2:$D$11, "Not specified")</f>
        <v>South-West</v>
      </c>
    </row>
    <row r="72" spans="1:15" x14ac:dyDescent="0.3">
      <c r="A72" s="11" t="s">
        <v>176</v>
      </c>
      <c r="B72" s="11" t="s">
        <v>133</v>
      </c>
      <c r="C72" s="11" t="s">
        <v>50</v>
      </c>
      <c r="D72" s="11" t="s">
        <v>134</v>
      </c>
      <c r="E72" s="11" t="s">
        <v>39</v>
      </c>
      <c r="F72" s="5">
        <v>750000</v>
      </c>
      <c r="G72" s="18">
        <v>0.16</v>
      </c>
      <c r="H72" s="14">
        <v>6</v>
      </c>
      <c r="I72" s="3">
        <v>45601</v>
      </c>
      <c r="J72" s="11" t="s">
        <v>14</v>
      </c>
      <c r="K72" s="12" t="s">
        <v>800</v>
      </c>
      <c r="L72" s="12" t="s">
        <v>819</v>
      </c>
      <c r="M72" s="7">
        <v>75000000</v>
      </c>
      <c r="N72" s="12" t="str">
        <f t="shared" si="1"/>
        <v>NORMAL</v>
      </c>
      <c r="O72" t="str">
        <f>_xlfn.XLOOKUP(C72,[1]branches!$A$2:$A$11,[1]branches!$D$2:$D$11, "Not specified")</f>
        <v>South-West</v>
      </c>
    </row>
    <row r="73" spans="1:15" x14ac:dyDescent="0.3">
      <c r="A73" s="13" t="s">
        <v>177</v>
      </c>
      <c r="B73" s="13" t="s">
        <v>178</v>
      </c>
      <c r="C73" s="13" t="s">
        <v>26</v>
      </c>
      <c r="D73" s="13" t="s">
        <v>27</v>
      </c>
      <c r="E73" s="13" t="s">
        <v>760</v>
      </c>
      <c r="F73" s="6">
        <v>5000000</v>
      </c>
      <c r="G73" s="19">
        <v>0.2</v>
      </c>
      <c r="H73" s="15">
        <v>24</v>
      </c>
      <c r="I73" s="4">
        <v>45570</v>
      </c>
      <c r="J73" s="13" t="s">
        <v>33</v>
      </c>
      <c r="K73" s="12" t="s">
        <v>796</v>
      </c>
      <c r="L73" s="12" t="s">
        <v>806</v>
      </c>
      <c r="M73" s="7">
        <v>50000000</v>
      </c>
      <c r="N73" s="12" t="str">
        <f t="shared" si="1"/>
        <v>NORMAL</v>
      </c>
      <c r="O73" t="str">
        <f>_xlfn.XLOOKUP(C73,[1]branches!$A$2:$A$11,[1]branches!$D$2:$D$11, "Not specified")</f>
        <v>North</v>
      </c>
    </row>
    <row r="74" spans="1:15" x14ac:dyDescent="0.3">
      <c r="A74" s="11" t="s">
        <v>179</v>
      </c>
      <c r="B74" s="11" t="s">
        <v>180</v>
      </c>
      <c r="C74" s="11" t="s">
        <v>46</v>
      </c>
      <c r="D74" s="11" t="s">
        <v>96</v>
      </c>
      <c r="E74" s="11" t="s">
        <v>760</v>
      </c>
      <c r="F74" s="5">
        <v>3000000</v>
      </c>
      <c r="G74" s="18">
        <v>0.2</v>
      </c>
      <c r="H74" s="14">
        <v>18</v>
      </c>
      <c r="I74" s="3">
        <v>45585</v>
      </c>
      <c r="J74" s="11" t="s">
        <v>19</v>
      </c>
      <c r="K74" s="12" t="s">
        <v>799</v>
      </c>
      <c r="L74" s="12" t="s">
        <v>817</v>
      </c>
      <c r="M74" s="7">
        <v>40000000</v>
      </c>
      <c r="N74" s="12" t="str">
        <f t="shared" si="1"/>
        <v>HIGH RISK</v>
      </c>
      <c r="O74" t="str">
        <f>_xlfn.XLOOKUP(C74,[1]branches!$A$2:$A$11,[1]branches!$D$2:$D$11, "Not specified")</f>
        <v>South-West</v>
      </c>
    </row>
    <row r="75" spans="1:15" x14ac:dyDescent="0.3">
      <c r="A75" s="13" t="s">
        <v>181</v>
      </c>
      <c r="B75" s="13" t="s">
        <v>182</v>
      </c>
      <c r="C75" s="13" t="s">
        <v>12</v>
      </c>
      <c r="D75" s="13" t="s">
        <v>13</v>
      </c>
      <c r="E75" s="13" t="s">
        <v>81</v>
      </c>
      <c r="F75" s="6">
        <v>1000000</v>
      </c>
      <c r="G75" s="19">
        <v>0.16</v>
      </c>
      <c r="H75" s="15">
        <v>36</v>
      </c>
      <c r="I75" s="4">
        <v>45657</v>
      </c>
      <c r="J75" s="13" t="s">
        <v>33</v>
      </c>
      <c r="K75" s="12" t="s">
        <v>793</v>
      </c>
      <c r="L75" s="12" t="s">
        <v>803</v>
      </c>
      <c r="M75" s="7">
        <v>75000000</v>
      </c>
      <c r="N75" s="12" t="str">
        <f t="shared" si="1"/>
        <v>NORMAL</v>
      </c>
      <c r="O75" t="str">
        <f>_xlfn.XLOOKUP(C75,[1]branches!$A$2:$A$11,[1]branches!$D$2:$D$11, "Not specified")</f>
        <v>North</v>
      </c>
    </row>
    <row r="76" spans="1:15" x14ac:dyDescent="0.3">
      <c r="A76" s="11" t="s">
        <v>183</v>
      </c>
      <c r="B76" s="11" t="s">
        <v>147</v>
      </c>
      <c r="C76" s="11" t="s">
        <v>17</v>
      </c>
      <c r="D76" s="11" t="s">
        <v>148</v>
      </c>
      <c r="E76" s="11" t="s">
        <v>39</v>
      </c>
      <c r="F76" s="5">
        <v>7500000</v>
      </c>
      <c r="G76" s="18">
        <v>0.22</v>
      </c>
      <c r="H76" s="14">
        <v>12</v>
      </c>
      <c r="I76" s="3">
        <v>45604</v>
      </c>
      <c r="J76" s="11" t="s">
        <v>33</v>
      </c>
      <c r="K76" s="12" t="s">
        <v>794</v>
      </c>
      <c r="L76" s="12" t="s">
        <v>821</v>
      </c>
      <c r="M76" s="7">
        <v>40000000</v>
      </c>
      <c r="N76" s="12" t="str">
        <f t="shared" si="1"/>
        <v>NORMAL</v>
      </c>
      <c r="O76" t="str">
        <f>_xlfn.XLOOKUP(C76,[1]branches!$A$2:$A$11,[1]branches!$D$2:$D$11, "Not specified")</f>
        <v>South-South</v>
      </c>
    </row>
    <row r="77" spans="1:15" x14ac:dyDescent="0.3">
      <c r="A77" s="13" t="s">
        <v>184</v>
      </c>
      <c r="B77" s="13" t="s">
        <v>185</v>
      </c>
      <c r="C77" s="13" t="s">
        <v>36</v>
      </c>
      <c r="D77" s="13" t="s">
        <v>37</v>
      </c>
      <c r="E77" s="13" t="s">
        <v>39</v>
      </c>
      <c r="F77" s="6">
        <v>500000</v>
      </c>
      <c r="G77" s="19">
        <v>0.16</v>
      </c>
      <c r="H77" s="15">
        <v>36</v>
      </c>
      <c r="I77" s="4">
        <v>45295</v>
      </c>
      <c r="J77" s="13" t="s">
        <v>33</v>
      </c>
      <c r="K77" s="12" t="s">
        <v>797</v>
      </c>
      <c r="L77" s="12" t="s">
        <v>808</v>
      </c>
      <c r="M77" s="7">
        <v>40000000</v>
      </c>
      <c r="N77" s="12" t="str">
        <f t="shared" si="1"/>
        <v>NORMAL</v>
      </c>
      <c r="O77" t="str">
        <f>_xlfn.XLOOKUP(C77,[1]branches!$A$2:$A$11,[1]branches!$D$2:$D$11, "Not specified")</f>
        <v>South-South</v>
      </c>
    </row>
    <row r="78" spans="1:15" x14ac:dyDescent="0.3">
      <c r="A78" s="11" t="s">
        <v>186</v>
      </c>
      <c r="B78" s="11" t="s">
        <v>80</v>
      </c>
      <c r="C78" s="11" t="s">
        <v>42</v>
      </c>
      <c r="D78" s="11" t="s">
        <v>43</v>
      </c>
      <c r="E78" s="11" t="s">
        <v>81</v>
      </c>
      <c r="F78" s="5">
        <v>3000000</v>
      </c>
      <c r="G78" s="18">
        <v>0.24</v>
      </c>
      <c r="H78" s="14">
        <v>6</v>
      </c>
      <c r="I78" s="3">
        <v>45632</v>
      </c>
      <c r="J78" s="11" t="s">
        <v>33</v>
      </c>
      <c r="K78" s="12" t="s">
        <v>798</v>
      </c>
      <c r="L78" s="12" t="s">
        <v>809</v>
      </c>
      <c r="M78" s="7">
        <v>40000000</v>
      </c>
      <c r="N78" s="12" t="str">
        <f t="shared" si="1"/>
        <v>NORMAL</v>
      </c>
      <c r="O78" t="str">
        <f>_xlfn.XLOOKUP(C78,[1]branches!$A$2:$A$11,[1]branches!$D$2:$D$11, "Not specified")</f>
        <v>North</v>
      </c>
    </row>
    <row r="79" spans="1:15" x14ac:dyDescent="0.3">
      <c r="A79" s="13" t="s">
        <v>187</v>
      </c>
      <c r="B79" s="13" t="s">
        <v>188</v>
      </c>
      <c r="C79" s="13" t="s">
        <v>22</v>
      </c>
      <c r="D79" s="13" t="s">
        <v>30</v>
      </c>
      <c r="E79" s="13" t="s">
        <v>760</v>
      </c>
      <c r="F79" s="6">
        <v>500000</v>
      </c>
      <c r="G79" s="19">
        <v>0.18</v>
      </c>
      <c r="H79" s="15">
        <v>6</v>
      </c>
      <c r="I79" s="4">
        <v>45370</v>
      </c>
      <c r="J79" s="13" t="s">
        <v>14</v>
      </c>
      <c r="K79" s="12" t="s">
        <v>795</v>
      </c>
      <c r="L79" s="12" t="s">
        <v>807</v>
      </c>
      <c r="M79" s="7">
        <v>30000000</v>
      </c>
      <c r="N79" s="12" t="str">
        <f t="shared" si="1"/>
        <v>NORMAL</v>
      </c>
      <c r="O79" t="str">
        <f>_xlfn.XLOOKUP(C79,[1]branches!$A$2:$A$11,[1]branches!$D$2:$D$11, "Not specified")</f>
        <v>North</v>
      </c>
    </row>
    <row r="80" spans="1:15" x14ac:dyDescent="0.3">
      <c r="A80" s="11" t="s">
        <v>189</v>
      </c>
      <c r="B80" s="11" t="s">
        <v>190</v>
      </c>
      <c r="C80" s="11" t="s">
        <v>42</v>
      </c>
      <c r="D80" s="11" t="s">
        <v>43</v>
      </c>
      <c r="E80" s="11" t="s">
        <v>760</v>
      </c>
      <c r="F80" s="5">
        <v>5000000</v>
      </c>
      <c r="G80" s="18">
        <v>0.16</v>
      </c>
      <c r="H80" s="14">
        <v>12</v>
      </c>
      <c r="I80" s="3">
        <v>45361</v>
      </c>
      <c r="J80" s="11" t="s">
        <v>14</v>
      </c>
      <c r="K80" s="12" t="s">
        <v>798</v>
      </c>
      <c r="L80" s="12" t="s">
        <v>809</v>
      </c>
      <c r="M80" s="7">
        <v>40000000</v>
      </c>
      <c r="N80" s="12" t="str">
        <f t="shared" si="1"/>
        <v>NORMAL</v>
      </c>
      <c r="O80" t="str">
        <f>_xlfn.XLOOKUP(C80,[1]branches!$A$2:$A$11,[1]branches!$D$2:$D$11, "Not specified")</f>
        <v>North</v>
      </c>
    </row>
    <row r="81" spans="1:15" x14ac:dyDescent="0.3">
      <c r="A81" s="13" t="s">
        <v>191</v>
      </c>
      <c r="B81" s="13" t="s">
        <v>192</v>
      </c>
      <c r="C81" s="13" t="s">
        <v>50</v>
      </c>
      <c r="D81" s="13" t="s">
        <v>134</v>
      </c>
      <c r="E81" s="13" t="s">
        <v>81</v>
      </c>
      <c r="F81" s="6">
        <v>3000000</v>
      </c>
      <c r="G81" s="19">
        <v>0.22</v>
      </c>
      <c r="H81" s="15">
        <v>24</v>
      </c>
      <c r="I81" s="4">
        <v>45332</v>
      </c>
      <c r="J81" s="13" t="s">
        <v>33</v>
      </c>
      <c r="K81" s="12" t="s">
        <v>800</v>
      </c>
      <c r="L81" s="12" t="s">
        <v>819</v>
      </c>
      <c r="M81" s="7">
        <v>75000000</v>
      </c>
      <c r="N81" s="12" t="str">
        <f t="shared" si="1"/>
        <v>NORMAL</v>
      </c>
      <c r="O81" t="str">
        <f>_xlfn.XLOOKUP(C81,[1]branches!$A$2:$A$11,[1]branches!$D$2:$D$11, "Not specified")</f>
        <v>South-West</v>
      </c>
    </row>
    <row r="82" spans="1:15" x14ac:dyDescent="0.3">
      <c r="A82" s="11" t="s">
        <v>193</v>
      </c>
      <c r="B82" s="11" t="s">
        <v>194</v>
      </c>
      <c r="C82" s="11" t="s">
        <v>36</v>
      </c>
      <c r="D82" s="11" t="s">
        <v>37</v>
      </c>
      <c r="E82" s="11" t="s">
        <v>760</v>
      </c>
      <c r="F82" s="5">
        <v>5000000</v>
      </c>
      <c r="G82" s="18">
        <v>0.22</v>
      </c>
      <c r="H82" s="14">
        <v>36</v>
      </c>
      <c r="I82" s="3">
        <v>45467</v>
      </c>
      <c r="J82" s="11" t="s">
        <v>33</v>
      </c>
      <c r="K82" s="12" t="s">
        <v>797</v>
      </c>
      <c r="L82" s="12" t="s">
        <v>808</v>
      </c>
      <c r="M82" s="7">
        <v>40000000</v>
      </c>
      <c r="N82" s="12" t="str">
        <f t="shared" si="1"/>
        <v>NORMAL</v>
      </c>
      <c r="O82" t="str">
        <f>_xlfn.XLOOKUP(C82,[1]branches!$A$2:$A$11,[1]branches!$D$2:$D$11, "Not specified")</f>
        <v>South-South</v>
      </c>
    </row>
    <row r="83" spans="1:15" x14ac:dyDescent="0.3">
      <c r="A83" s="13" t="s">
        <v>195</v>
      </c>
      <c r="B83" s="13" t="s">
        <v>196</v>
      </c>
      <c r="C83" s="13" t="s">
        <v>17</v>
      </c>
      <c r="D83" s="13" t="s">
        <v>18</v>
      </c>
      <c r="E83" s="13" t="s">
        <v>81</v>
      </c>
      <c r="F83" s="6">
        <v>500000</v>
      </c>
      <c r="G83" s="19">
        <v>0.18</v>
      </c>
      <c r="H83" s="15">
        <v>18</v>
      </c>
      <c r="I83" s="4">
        <v>45652</v>
      </c>
      <c r="J83" s="13" t="s">
        <v>33</v>
      </c>
      <c r="K83" s="12" t="s">
        <v>794</v>
      </c>
      <c r="L83" s="12" t="s">
        <v>804</v>
      </c>
      <c r="M83" s="7">
        <v>75000000</v>
      </c>
      <c r="N83" s="12" t="str">
        <f t="shared" si="1"/>
        <v>NORMAL</v>
      </c>
      <c r="O83" t="str">
        <f>_xlfn.XLOOKUP(C83,[1]branches!$A$2:$A$11,[1]branches!$D$2:$D$11, "Not specified")</f>
        <v>South-South</v>
      </c>
    </row>
    <row r="84" spans="1:15" x14ac:dyDescent="0.3">
      <c r="A84" s="11" t="s">
        <v>197</v>
      </c>
      <c r="B84" s="11" t="s">
        <v>198</v>
      </c>
      <c r="C84" s="11" t="s">
        <v>50</v>
      </c>
      <c r="D84" s="11" t="s">
        <v>51</v>
      </c>
      <c r="E84" s="11" t="s">
        <v>760</v>
      </c>
      <c r="F84" s="5">
        <v>10000000</v>
      </c>
      <c r="G84" s="18">
        <v>0.22</v>
      </c>
      <c r="H84" s="14">
        <v>6</v>
      </c>
      <c r="I84" s="3">
        <v>45595</v>
      </c>
      <c r="J84" s="11" t="s">
        <v>33</v>
      </c>
      <c r="K84" s="12" t="s">
        <v>800</v>
      </c>
      <c r="L84" s="12" t="s">
        <v>811</v>
      </c>
      <c r="M84" s="7">
        <v>75000000</v>
      </c>
      <c r="N84" s="12" t="str">
        <f t="shared" si="1"/>
        <v>NORMAL</v>
      </c>
      <c r="O84" t="str">
        <f>_xlfn.XLOOKUP(C84,[1]branches!$A$2:$A$11,[1]branches!$D$2:$D$11, "Not specified")</f>
        <v>South-West</v>
      </c>
    </row>
    <row r="85" spans="1:15" x14ac:dyDescent="0.3">
      <c r="A85" s="13" t="s">
        <v>199</v>
      </c>
      <c r="B85" s="13" t="s">
        <v>200</v>
      </c>
      <c r="C85" s="13" t="s">
        <v>12</v>
      </c>
      <c r="D85" s="13" t="s">
        <v>13</v>
      </c>
      <c r="E85" s="13" t="s">
        <v>39</v>
      </c>
      <c r="F85" s="6">
        <v>2000000</v>
      </c>
      <c r="G85" s="19">
        <v>0.16</v>
      </c>
      <c r="H85" s="15">
        <v>24</v>
      </c>
      <c r="I85" s="4">
        <v>45547</v>
      </c>
      <c r="J85" s="13" t="s">
        <v>19</v>
      </c>
      <c r="K85" s="12" t="s">
        <v>793</v>
      </c>
      <c r="L85" s="12" t="s">
        <v>803</v>
      </c>
      <c r="M85" s="7">
        <v>75000000</v>
      </c>
      <c r="N85" s="12" t="str">
        <f t="shared" si="1"/>
        <v>AT RISK</v>
      </c>
      <c r="O85" t="str">
        <f>_xlfn.XLOOKUP(C85,[1]branches!$A$2:$A$11,[1]branches!$D$2:$D$11, "Not specified")</f>
        <v>North</v>
      </c>
    </row>
    <row r="86" spans="1:15" x14ac:dyDescent="0.3">
      <c r="A86" s="11" t="s">
        <v>201</v>
      </c>
      <c r="B86" s="11" t="s">
        <v>202</v>
      </c>
      <c r="C86" s="11" t="s">
        <v>26</v>
      </c>
      <c r="D86" s="11" t="s">
        <v>66</v>
      </c>
      <c r="E86" s="11" t="s">
        <v>81</v>
      </c>
      <c r="F86" s="5">
        <v>750000</v>
      </c>
      <c r="G86" s="18">
        <v>0.24</v>
      </c>
      <c r="H86" s="14">
        <v>6</v>
      </c>
      <c r="I86" s="3">
        <v>45591</v>
      </c>
      <c r="J86" s="11" t="s">
        <v>14</v>
      </c>
      <c r="K86" s="12" t="s">
        <v>796</v>
      </c>
      <c r="L86" s="12" t="s">
        <v>814</v>
      </c>
      <c r="M86" s="7">
        <v>60000000</v>
      </c>
      <c r="N86" s="12" t="str">
        <f t="shared" si="1"/>
        <v>NORMAL</v>
      </c>
      <c r="O86" t="str">
        <f>_xlfn.XLOOKUP(C86,[1]branches!$A$2:$A$11,[1]branches!$D$2:$D$11, "Not specified")</f>
        <v>North</v>
      </c>
    </row>
    <row r="87" spans="1:15" x14ac:dyDescent="0.3">
      <c r="A87" s="13" t="s">
        <v>203</v>
      </c>
      <c r="B87" s="13" t="s">
        <v>123</v>
      </c>
      <c r="C87" s="13" t="s">
        <v>60</v>
      </c>
      <c r="D87" s="13" t="s">
        <v>61</v>
      </c>
      <c r="E87" s="13" t="s">
        <v>39</v>
      </c>
      <c r="F87" s="6">
        <v>7500000</v>
      </c>
      <c r="G87" s="19">
        <v>0.24</v>
      </c>
      <c r="H87" s="15">
        <v>6</v>
      </c>
      <c r="I87" s="4">
        <v>45384</v>
      </c>
      <c r="J87" s="13" t="s">
        <v>19</v>
      </c>
      <c r="K87" s="12" t="s">
        <v>802</v>
      </c>
      <c r="L87" s="12" t="s">
        <v>813</v>
      </c>
      <c r="M87" s="7">
        <v>75000000</v>
      </c>
      <c r="N87" s="12" t="str">
        <f t="shared" si="1"/>
        <v>HIGH RISK</v>
      </c>
      <c r="O87" t="str">
        <f>_xlfn.XLOOKUP(C87,[1]branches!$A$2:$A$11,[1]branches!$D$2:$D$11, "Not specified")</f>
        <v>North</v>
      </c>
    </row>
    <row r="88" spans="1:15" x14ac:dyDescent="0.3">
      <c r="A88" s="13" t="s">
        <v>204</v>
      </c>
      <c r="B88" s="13" t="s">
        <v>205</v>
      </c>
      <c r="C88" s="13" t="s">
        <v>60</v>
      </c>
      <c r="D88" s="13" t="s">
        <v>69</v>
      </c>
      <c r="E88" s="13" t="s">
        <v>81</v>
      </c>
      <c r="F88" s="6">
        <v>500000</v>
      </c>
      <c r="G88" s="19">
        <v>0.24</v>
      </c>
      <c r="H88" s="15">
        <v>24</v>
      </c>
      <c r="I88" s="4">
        <v>45372</v>
      </c>
      <c r="J88" s="13" t="s">
        <v>14</v>
      </c>
      <c r="K88" s="12" t="s">
        <v>802</v>
      </c>
      <c r="L88" s="12" t="s">
        <v>815</v>
      </c>
      <c r="M88" s="7">
        <v>75000000</v>
      </c>
      <c r="N88" s="12" t="str">
        <f t="shared" si="1"/>
        <v>NORMAL</v>
      </c>
      <c r="O88" t="str">
        <f>_xlfn.XLOOKUP(C88,[1]branches!$A$2:$A$11,[1]branches!$D$2:$D$11, "Not specified")</f>
        <v>North</v>
      </c>
    </row>
    <row r="89" spans="1:15" x14ac:dyDescent="0.3">
      <c r="A89" s="11" t="s">
        <v>206</v>
      </c>
      <c r="B89" s="11" t="s">
        <v>207</v>
      </c>
      <c r="C89" s="11" t="s">
        <v>42</v>
      </c>
      <c r="D89" s="11" t="s">
        <v>43</v>
      </c>
      <c r="E89" s="11" t="s">
        <v>760</v>
      </c>
      <c r="F89" s="5">
        <v>2000000</v>
      </c>
      <c r="G89" s="18">
        <v>0.24</v>
      </c>
      <c r="H89" s="14">
        <v>18</v>
      </c>
      <c r="I89" s="3">
        <v>45353</v>
      </c>
      <c r="J89" s="11" t="s">
        <v>19</v>
      </c>
      <c r="K89" s="12" t="s">
        <v>798</v>
      </c>
      <c r="L89" s="12" t="s">
        <v>809</v>
      </c>
      <c r="M89" s="7">
        <v>40000000</v>
      </c>
      <c r="N89" s="12" t="str">
        <f t="shared" si="1"/>
        <v>AT RISK</v>
      </c>
      <c r="O89" t="str">
        <f>_xlfn.XLOOKUP(C89,[1]branches!$A$2:$A$11,[1]branches!$D$2:$D$11, "Not specified")</f>
        <v>North</v>
      </c>
    </row>
    <row r="90" spans="1:15" x14ac:dyDescent="0.3">
      <c r="A90" s="13" t="s">
        <v>208</v>
      </c>
      <c r="B90" s="13" t="s">
        <v>209</v>
      </c>
      <c r="C90" s="13" t="s">
        <v>56</v>
      </c>
      <c r="D90" s="13" t="s">
        <v>57</v>
      </c>
      <c r="E90" s="13" t="s">
        <v>81</v>
      </c>
      <c r="F90" s="6">
        <v>500000</v>
      </c>
      <c r="G90" s="19">
        <v>0.2</v>
      </c>
      <c r="H90" s="15">
        <v>36</v>
      </c>
      <c r="I90" s="4">
        <v>45639</v>
      </c>
      <c r="J90" s="13" t="s">
        <v>14</v>
      </c>
      <c r="K90" s="12" t="s">
        <v>801</v>
      </c>
      <c r="L90" s="12" t="s">
        <v>812</v>
      </c>
      <c r="M90" s="7">
        <v>50000000</v>
      </c>
      <c r="N90" s="12" t="str">
        <f t="shared" si="1"/>
        <v>NORMAL</v>
      </c>
      <c r="O90" t="str">
        <f>_xlfn.XLOOKUP(C90,[1]branches!$A$2:$A$11,[1]branches!$D$2:$D$11, "Not specified")</f>
        <v>South-West</v>
      </c>
    </row>
    <row r="91" spans="1:15" x14ac:dyDescent="0.3">
      <c r="A91" s="11" t="s">
        <v>210</v>
      </c>
      <c r="B91" s="11" t="s">
        <v>211</v>
      </c>
      <c r="C91" s="11" t="s">
        <v>36</v>
      </c>
      <c r="D91" s="11" t="s">
        <v>37</v>
      </c>
      <c r="E91" s="11" t="s">
        <v>760</v>
      </c>
      <c r="F91" s="5">
        <v>7500000</v>
      </c>
      <c r="G91" s="18">
        <v>0.24</v>
      </c>
      <c r="H91" s="14">
        <v>12</v>
      </c>
      <c r="I91" s="3">
        <v>45495</v>
      </c>
      <c r="J91" s="11" t="s">
        <v>14</v>
      </c>
      <c r="K91" s="12" t="s">
        <v>797</v>
      </c>
      <c r="L91" s="12" t="s">
        <v>808</v>
      </c>
      <c r="M91" s="7">
        <v>40000000</v>
      </c>
      <c r="N91" s="12" t="str">
        <f t="shared" si="1"/>
        <v>NORMAL</v>
      </c>
      <c r="O91" t="str">
        <f>_xlfn.XLOOKUP(C91,[1]branches!$A$2:$A$11,[1]branches!$D$2:$D$11, "Not specified")</f>
        <v>South-South</v>
      </c>
    </row>
    <row r="92" spans="1:15" x14ac:dyDescent="0.3">
      <c r="A92" s="13" t="s">
        <v>212</v>
      </c>
      <c r="B92" s="13" t="s">
        <v>213</v>
      </c>
      <c r="C92" s="13" t="s">
        <v>46</v>
      </c>
      <c r="D92" s="13" t="s">
        <v>96</v>
      </c>
      <c r="E92" s="13" t="s">
        <v>81</v>
      </c>
      <c r="F92" s="6">
        <v>2000000</v>
      </c>
      <c r="G92" s="19">
        <v>0.2</v>
      </c>
      <c r="H92" s="15">
        <v>18</v>
      </c>
      <c r="I92" s="4">
        <v>45561</v>
      </c>
      <c r="J92" s="13" t="s">
        <v>14</v>
      </c>
      <c r="K92" s="12" t="s">
        <v>799</v>
      </c>
      <c r="L92" s="12" t="s">
        <v>817</v>
      </c>
      <c r="M92" s="7">
        <v>40000000</v>
      </c>
      <c r="N92" s="12" t="str">
        <f t="shared" si="1"/>
        <v>NORMAL</v>
      </c>
      <c r="O92" t="str">
        <f>_xlfn.XLOOKUP(C92,[1]branches!$A$2:$A$11,[1]branches!$D$2:$D$11, "Not specified")</f>
        <v>South-West</v>
      </c>
    </row>
    <row r="93" spans="1:15" x14ac:dyDescent="0.3">
      <c r="A93" s="11" t="s">
        <v>214</v>
      </c>
      <c r="B93" s="11" t="s">
        <v>215</v>
      </c>
      <c r="C93" s="11" t="s">
        <v>60</v>
      </c>
      <c r="D93" s="11" t="s">
        <v>61</v>
      </c>
      <c r="E93" s="11" t="s">
        <v>81</v>
      </c>
      <c r="F93" s="5">
        <v>2000000</v>
      </c>
      <c r="G93" s="18">
        <v>0.16</v>
      </c>
      <c r="H93" s="14">
        <v>6</v>
      </c>
      <c r="I93" s="3">
        <v>45364</v>
      </c>
      <c r="J93" s="11" t="s">
        <v>33</v>
      </c>
      <c r="K93" s="12" t="s">
        <v>802</v>
      </c>
      <c r="L93" s="12" t="s">
        <v>813</v>
      </c>
      <c r="M93" s="7">
        <v>75000000</v>
      </c>
      <c r="N93" s="12" t="str">
        <f t="shared" si="1"/>
        <v>NORMAL</v>
      </c>
      <c r="O93" t="str">
        <f>_xlfn.XLOOKUP(C93,[1]branches!$A$2:$A$11,[1]branches!$D$2:$D$11, "Not specified")</f>
        <v>North</v>
      </c>
    </row>
    <row r="94" spans="1:15" x14ac:dyDescent="0.3">
      <c r="A94" s="13" t="s">
        <v>216</v>
      </c>
      <c r="B94" s="13" t="s">
        <v>160</v>
      </c>
      <c r="C94" s="13" t="s">
        <v>42</v>
      </c>
      <c r="D94" s="13" t="s">
        <v>43</v>
      </c>
      <c r="E94" s="13" t="s">
        <v>39</v>
      </c>
      <c r="F94" s="6">
        <v>750000</v>
      </c>
      <c r="G94" s="19">
        <v>0.18</v>
      </c>
      <c r="H94" s="15">
        <v>6</v>
      </c>
      <c r="I94" s="4">
        <v>45322</v>
      </c>
      <c r="J94" s="13" t="s">
        <v>33</v>
      </c>
      <c r="K94" s="12" t="s">
        <v>798</v>
      </c>
      <c r="L94" s="12" t="s">
        <v>809</v>
      </c>
      <c r="M94" s="7">
        <v>40000000</v>
      </c>
      <c r="N94" s="12" t="str">
        <f t="shared" si="1"/>
        <v>NORMAL</v>
      </c>
      <c r="O94" t="str">
        <f>_xlfn.XLOOKUP(C94,[1]branches!$A$2:$A$11,[1]branches!$D$2:$D$11, "Not specified")</f>
        <v>North</v>
      </c>
    </row>
    <row r="95" spans="1:15" x14ac:dyDescent="0.3">
      <c r="A95" s="11" t="s">
        <v>217</v>
      </c>
      <c r="B95" s="11" t="s">
        <v>218</v>
      </c>
      <c r="C95" s="11" t="s">
        <v>17</v>
      </c>
      <c r="D95" s="11" t="s">
        <v>148</v>
      </c>
      <c r="E95" s="11" t="s">
        <v>39</v>
      </c>
      <c r="F95" s="5">
        <v>7500000</v>
      </c>
      <c r="G95" s="18">
        <v>0.16</v>
      </c>
      <c r="H95" s="14">
        <v>12</v>
      </c>
      <c r="I95" s="3">
        <v>45541</v>
      </c>
      <c r="J95" s="11" t="s">
        <v>33</v>
      </c>
      <c r="K95" s="12" t="s">
        <v>794</v>
      </c>
      <c r="L95" s="12" t="s">
        <v>821</v>
      </c>
      <c r="M95" s="7">
        <v>40000000</v>
      </c>
      <c r="N95" s="12" t="str">
        <f t="shared" si="1"/>
        <v>NORMAL</v>
      </c>
      <c r="O95" t="str">
        <f>_xlfn.XLOOKUP(C95,[1]branches!$A$2:$A$11,[1]branches!$D$2:$D$11, "Not specified")</f>
        <v>South-South</v>
      </c>
    </row>
    <row r="96" spans="1:15" x14ac:dyDescent="0.3">
      <c r="A96" s="13" t="s">
        <v>219</v>
      </c>
      <c r="B96" s="13" t="s">
        <v>220</v>
      </c>
      <c r="C96" s="13" t="s">
        <v>60</v>
      </c>
      <c r="D96" s="13" t="s">
        <v>69</v>
      </c>
      <c r="E96" s="13" t="s">
        <v>39</v>
      </c>
      <c r="F96" s="6">
        <v>1500000</v>
      </c>
      <c r="G96" s="19">
        <v>0.16</v>
      </c>
      <c r="H96" s="15">
        <v>18</v>
      </c>
      <c r="I96" s="4">
        <v>45585</v>
      </c>
      <c r="J96" s="13" t="s">
        <v>33</v>
      </c>
      <c r="K96" s="12" t="s">
        <v>802</v>
      </c>
      <c r="L96" s="12" t="s">
        <v>815</v>
      </c>
      <c r="M96" s="7">
        <v>75000000</v>
      </c>
      <c r="N96" s="12" t="str">
        <f t="shared" si="1"/>
        <v>NORMAL</v>
      </c>
      <c r="O96" t="str">
        <f>_xlfn.XLOOKUP(C96,[1]branches!$A$2:$A$11,[1]branches!$D$2:$D$11, "Not specified")</f>
        <v>North</v>
      </c>
    </row>
    <row r="97" spans="1:15" x14ac:dyDescent="0.3">
      <c r="A97" s="11" t="s">
        <v>221</v>
      </c>
      <c r="B97" s="11" t="s">
        <v>222</v>
      </c>
      <c r="C97" s="11" t="s">
        <v>22</v>
      </c>
      <c r="D97" s="11" t="s">
        <v>30</v>
      </c>
      <c r="E97" s="11" t="s">
        <v>39</v>
      </c>
      <c r="F97" s="5">
        <v>2000000</v>
      </c>
      <c r="G97" s="18">
        <v>0.2</v>
      </c>
      <c r="H97" s="14">
        <v>6</v>
      </c>
      <c r="I97" s="3">
        <v>45556</v>
      </c>
      <c r="J97" s="11" t="s">
        <v>33</v>
      </c>
      <c r="K97" s="12" t="s">
        <v>795</v>
      </c>
      <c r="L97" s="12" t="s">
        <v>807</v>
      </c>
      <c r="M97" s="7">
        <v>30000000</v>
      </c>
      <c r="N97" s="12" t="str">
        <f t="shared" si="1"/>
        <v>NORMAL</v>
      </c>
      <c r="O97" t="str">
        <f>_xlfn.XLOOKUP(C97,[1]branches!$A$2:$A$11,[1]branches!$D$2:$D$11, "Not specified")</f>
        <v>North</v>
      </c>
    </row>
    <row r="98" spans="1:15" x14ac:dyDescent="0.3">
      <c r="A98" s="13" t="s">
        <v>223</v>
      </c>
      <c r="B98" s="13" t="s">
        <v>224</v>
      </c>
      <c r="C98" s="13" t="s">
        <v>22</v>
      </c>
      <c r="D98" s="13" t="s">
        <v>30</v>
      </c>
      <c r="E98" s="13" t="s">
        <v>39</v>
      </c>
      <c r="F98" s="6">
        <v>10000000</v>
      </c>
      <c r="G98" s="19">
        <v>0.18</v>
      </c>
      <c r="H98" s="15">
        <v>18</v>
      </c>
      <c r="I98" s="4">
        <v>45447</v>
      </c>
      <c r="J98" s="13" t="s">
        <v>33</v>
      </c>
      <c r="K98" s="12" t="s">
        <v>795</v>
      </c>
      <c r="L98" s="12" t="s">
        <v>807</v>
      </c>
      <c r="M98" s="7">
        <v>30000000</v>
      </c>
      <c r="N98" s="12" t="str">
        <f t="shared" si="1"/>
        <v>NORMAL</v>
      </c>
      <c r="O98" t="str">
        <f>_xlfn.XLOOKUP(C98,[1]branches!$A$2:$A$11,[1]branches!$D$2:$D$11, "Not specified")</f>
        <v>North</v>
      </c>
    </row>
    <row r="99" spans="1:15" x14ac:dyDescent="0.3">
      <c r="A99" s="11" t="s">
        <v>225</v>
      </c>
      <c r="B99" s="11" t="s">
        <v>205</v>
      </c>
      <c r="C99" s="11" t="s">
        <v>60</v>
      </c>
      <c r="D99" s="11" t="s">
        <v>69</v>
      </c>
      <c r="E99" s="11" t="s">
        <v>39</v>
      </c>
      <c r="F99" s="5">
        <v>2000000</v>
      </c>
      <c r="G99" s="18">
        <v>0.24</v>
      </c>
      <c r="H99" s="14">
        <v>18</v>
      </c>
      <c r="I99" s="3">
        <v>45323</v>
      </c>
      <c r="J99" s="11" t="s">
        <v>14</v>
      </c>
      <c r="K99" s="12" t="s">
        <v>802</v>
      </c>
      <c r="L99" s="12" t="s">
        <v>815</v>
      </c>
      <c r="M99" s="7">
        <v>75000000</v>
      </c>
      <c r="N99" s="12" t="str">
        <f t="shared" si="1"/>
        <v>NORMAL</v>
      </c>
      <c r="O99" t="str">
        <f>_xlfn.XLOOKUP(C99,[1]branches!$A$2:$A$11,[1]branches!$D$2:$D$11, "Not specified")</f>
        <v>North</v>
      </c>
    </row>
    <row r="100" spans="1:15" x14ac:dyDescent="0.3">
      <c r="A100" s="13" t="s">
        <v>226</v>
      </c>
      <c r="B100" s="13" t="s">
        <v>227</v>
      </c>
      <c r="C100" s="13" t="s">
        <v>56</v>
      </c>
      <c r="D100" s="13" t="s">
        <v>74</v>
      </c>
      <c r="E100" s="13" t="s">
        <v>81</v>
      </c>
      <c r="F100" s="6">
        <v>750000</v>
      </c>
      <c r="G100" s="19">
        <v>0.2</v>
      </c>
      <c r="H100" s="15">
        <v>36</v>
      </c>
      <c r="I100" s="4">
        <v>45623</v>
      </c>
      <c r="J100" s="13" t="s">
        <v>33</v>
      </c>
      <c r="K100" s="12" t="s">
        <v>801</v>
      </c>
      <c r="L100" s="12" t="s">
        <v>816</v>
      </c>
      <c r="M100" s="7">
        <v>30000000</v>
      </c>
      <c r="N100" s="12" t="str">
        <f t="shared" si="1"/>
        <v>NORMAL</v>
      </c>
      <c r="O100" t="str">
        <f>_xlfn.XLOOKUP(C100,[1]branches!$A$2:$A$11,[1]branches!$D$2:$D$11, "Not specified")</f>
        <v>South-West</v>
      </c>
    </row>
    <row r="101" spans="1:15" x14ac:dyDescent="0.3">
      <c r="A101" s="11" t="s">
        <v>228</v>
      </c>
      <c r="B101" s="11" t="s">
        <v>229</v>
      </c>
      <c r="C101" s="11" t="s">
        <v>60</v>
      </c>
      <c r="D101" s="11" t="s">
        <v>69</v>
      </c>
      <c r="E101" s="11" t="s">
        <v>39</v>
      </c>
      <c r="F101" s="5">
        <v>3000000</v>
      </c>
      <c r="G101" s="18">
        <v>0.22</v>
      </c>
      <c r="H101" s="14">
        <v>6</v>
      </c>
      <c r="I101" s="3">
        <v>45494</v>
      </c>
      <c r="J101" s="11" t="s">
        <v>14</v>
      </c>
      <c r="K101" s="12" t="s">
        <v>802</v>
      </c>
      <c r="L101" s="12" t="s">
        <v>815</v>
      </c>
      <c r="M101" s="7">
        <v>75000000</v>
      </c>
      <c r="N101" s="12" t="str">
        <f t="shared" si="1"/>
        <v>NORMAL</v>
      </c>
      <c r="O101" t="str">
        <f>_xlfn.XLOOKUP(C101,[1]branches!$A$2:$A$11,[1]branches!$D$2:$D$11, "Not specified")</f>
        <v>North</v>
      </c>
    </row>
    <row r="102" spans="1:15" x14ac:dyDescent="0.3">
      <c r="A102" s="13" t="s">
        <v>230</v>
      </c>
      <c r="B102" s="13" t="s">
        <v>231</v>
      </c>
      <c r="C102" s="13" t="s">
        <v>17</v>
      </c>
      <c r="D102" s="13" t="s">
        <v>18</v>
      </c>
      <c r="E102" s="13" t="s">
        <v>81</v>
      </c>
      <c r="F102" s="6">
        <v>3000000</v>
      </c>
      <c r="G102" s="19">
        <v>0.2</v>
      </c>
      <c r="H102" s="15">
        <v>18</v>
      </c>
      <c r="I102" s="4">
        <v>45323</v>
      </c>
      <c r="J102" s="13" t="s">
        <v>33</v>
      </c>
      <c r="K102" s="12" t="s">
        <v>794</v>
      </c>
      <c r="L102" s="12" t="s">
        <v>804</v>
      </c>
      <c r="M102" s="7">
        <v>75000000</v>
      </c>
      <c r="N102" s="12" t="str">
        <f t="shared" si="1"/>
        <v>NORMAL</v>
      </c>
      <c r="O102" t="str">
        <f>_xlfn.XLOOKUP(C102,[1]branches!$A$2:$A$11,[1]branches!$D$2:$D$11, "Not specified")</f>
        <v>South-South</v>
      </c>
    </row>
    <row r="103" spans="1:15" x14ac:dyDescent="0.3">
      <c r="A103" s="11" t="s">
        <v>232</v>
      </c>
      <c r="B103" s="11" t="s">
        <v>233</v>
      </c>
      <c r="C103" s="11" t="s">
        <v>12</v>
      </c>
      <c r="D103" s="11" t="s">
        <v>13</v>
      </c>
      <c r="E103" s="11" t="s">
        <v>39</v>
      </c>
      <c r="F103" s="5">
        <v>2000000</v>
      </c>
      <c r="G103" s="18">
        <v>0.24</v>
      </c>
      <c r="H103" s="14">
        <v>6</v>
      </c>
      <c r="I103" s="3">
        <v>45462</v>
      </c>
      <c r="J103" s="11" t="s">
        <v>33</v>
      </c>
      <c r="K103" s="12" t="s">
        <v>793</v>
      </c>
      <c r="L103" s="12" t="s">
        <v>803</v>
      </c>
      <c r="M103" s="7">
        <v>75000000</v>
      </c>
      <c r="N103" s="12" t="str">
        <f t="shared" si="1"/>
        <v>NORMAL</v>
      </c>
      <c r="O103" t="str">
        <f>_xlfn.XLOOKUP(C103,[1]branches!$A$2:$A$11,[1]branches!$D$2:$D$11, "Not specified")</f>
        <v>North</v>
      </c>
    </row>
    <row r="104" spans="1:15" x14ac:dyDescent="0.3">
      <c r="A104" s="13" t="s">
        <v>234</v>
      </c>
      <c r="B104" s="13" t="s">
        <v>235</v>
      </c>
      <c r="C104" s="13" t="s">
        <v>17</v>
      </c>
      <c r="D104" s="13" t="s">
        <v>148</v>
      </c>
      <c r="E104" s="13" t="s">
        <v>760</v>
      </c>
      <c r="F104" s="6">
        <v>7500000</v>
      </c>
      <c r="G104" s="19">
        <v>0.16</v>
      </c>
      <c r="H104" s="15">
        <v>24</v>
      </c>
      <c r="I104" s="4">
        <v>45517</v>
      </c>
      <c r="J104" s="13" t="s">
        <v>33</v>
      </c>
      <c r="K104" s="12" t="s">
        <v>794</v>
      </c>
      <c r="L104" s="12" t="s">
        <v>821</v>
      </c>
      <c r="M104" s="7">
        <v>40000000</v>
      </c>
      <c r="N104" s="12" t="str">
        <f t="shared" si="1"/>
        <v>NORMAL</v>
      </c>
      <c r="O104" t="str">
        <f>_xlfn.XLOOKUP(C104,[1]branches!$A$2:$A$11,[1]branches!$D$2:$D$11, "Not specified")</f>
        <v>South-South</v>
      </c>
    </row>
    <row r="105" spans="1:15" x14ac:dyDescent="0.3">
      <c r="A105" s="11" t="s">
        <v>236</v>
      </c>
      <c r="B105" s="11" t="s">
        <v>237</v>
      </c>
      <c r="C105" s="11" t="s">
        <v>50</v>
      </c>
      <c r="D105" s="11" t="s">
        <v>134</v>
      </c>
      <c r="E105" s="11" t="s">
        <v>760</v>
      </c>
      <c r="F105" s="5">
        <v>1000000</v>
      </c>
      <c r="G105" s="18">
        <v>0.18</v>
      </c>
      <c r="H105" s="14">
        <v>24</v>
      </c>
      <c r="I105" s="3">
        <v>45394</v>
      </c>
      <c r="J105" s="11" t="s">
        <v>33</v>
      </c>
      <c r="K105" s="12" t="s">
        <v>800</v>
      </c>
      <c r="L105" s="12" t="s">
        <v>819</v>
      </c>
      <c r="M105" s="7">
        <v>75000000</v>
      </c>
      <c r="N105" s="12" t="str">
        <f t="shared" si="1"/>
        <v>NORMAL</v>
      </c>
      <c r="O105" t="str">
        <f>_xlfn.XLOOKUP(C105,[1]branches!$A$2:$A$11,[1]branches!$D$2:$D$11, "Not specified")</f>
        <v>South-West</v>
      </c>
    </row>
    <row r="106" spans="1:15" x14ac:dyDescent="0.3">
      <c r="A106" s="13" t="s">
        <v>238</v>
      </c>
      <c r="B106" s="13" t="s">
        <v>239</v>
      </c>
      <c r="C106" s="13" t="s">
        <v>17</v>
      </c>
      <c r="D106" s="13" t="s">
        <v>148</v>
      </c>
      <c r="E106" s="13" t="s">
        <v>39</v>
      </c>
      <c r="F106" s="6">
        <v>1000000</v>
      </c>
      <c r="G106" s="19">
        <v>0.18</v>
      </c>
      <c r="H106" s="15">
        <v>36</v>
      </c>
      <c r="I106" s="4">
        <v>45499</v>
      </c>
      <c r="J106" s="13" t="s">
        <v>14</v>
      </c>
      <c r="K106" s="12" t="s">
        <v>794</v>
      </c>
      <c r="L106" s="12" t="s">
        <v>821</v>
      </c>
      <c r="M106" s="7">
        <v>40000000</v>
      </c>
      <c r="N106" s="12" t="str">
        <f t="shared" si="1"/>
        <v>NORMAL</v>
      </c>
      <c r="O106" t="str">
        <f>_xlfn.XLOOKUP(C106,[1]branches!$A$2:$A$11,[1]branches!$D$2:$D$11, "Not specified")</f>
        <v>South-South</v>
      </c>
    </row>
    <row r="107" spans="1:15" x14ac:dyDescent="0.3">
      <c r="A107" s="11" t="s">
        <v>240</v>
      </c>
      <c r="B107" s="11" t="s">
        <v>125</v>
      </c>
      <c r="C107" s="11" t="s">
        <v>36</v>
      </c>
      <c r="D107" s="11" t="s">
        <v>121</v>
      </c>
      <c r="E107" s="11" t="s">
        <v>81</v>
      </c>
      <c r="F107" s="5">
        <v>1000000</v>
      </c>
      <c r="G107" s="18">
        <v>0.24</v>
      </c>
      <c r="H107" s="14">
        <v>6</v>
      </c>
      <c r="I107" s="3">
        <v>45639</v>
      </c>
      <c r="J107" s="11" t="s">
        <v>14</v>
      </c>
      <c r="K107" s="12" t="s">
        <v>797</v>
      </c>
      <c r="L107" s="12" t="s">
        <v>818</v>
      </c>
      <c r="M107" s="7">
        <v>30000000</v>
      </c>
      <c r="N107" s="12" t="str">
        <f t="shared" si="1"/>
        <v>NORMAL</v>
      </c>
      <c r="O107" t="str">
        <f>_xlfn.XLOOKUP(C107,[1]branches!$A$2:$A$11,[1]branches!$D$2:$D$11, "Not specified")</f>
        <v>South-South</v>
      </c>
    </row>
    <row r="108" spans="1:15" x14ac:dyDescent="0.3">
      <c r="A108" s="13" t="s">
        <v>241</v>
      </c>
      <c r="B108" s="13" t="s">
        <v>242</v>
      </c>
      <c r="C108" s="13" t="s">
        <v>50</v>
      </c>
      <c r="D108" s="13" t="s">
        <v>51</v>
      </c>
      <c r="E108" s="13" t="s">
        <v>39</v>
      </c>
      <c r="F108" s="6">
        <v>10000000</v>
      </c>
      <c r="G108" s="19">
        <v>0.2</v>
      </c>
      <c r="H108" s="15">
        <v>18</v>
      </c>
      <c r="I108" s="4">
        <v>45534</v>
      </c>
      <c r="J108" s="13" t="s">
        <v>19</v>
      </c>
      <c r="K108" s="12" t="s">
        <v>800</v>
      </c>
      <c r="L108" s="12" t="s">
        <v>811</v>
      </c>
      <c r="M108" s="7">
        <v>75000000</v>
      </c>
      <c r="N108" s="12" t="str">
        <f t="shared" si="1"/>
        <v>HIGH RISK</v>
      </c>
      <c r="O108" t="str">
        <f>_xlfn.XLOOKUP(C108,[1]branches!$A$2:$A$11,[1]branches!$D$2:$D$11, "Not specified")</f>
        <v>South-West</v>
      </c>
    </row>
    <row r="109" spans="1:15" x14ac:dyDescent="0.3">
      <c r="A109" s="11" t="s">
        <v>243</v>
      </c>
      <c r="B109" s="11" t="s">
        <v>49</v>
      </c>
      <c r="C109" s="11" t="s">
        <v>50</v>
      </c>
      <c r="D109" s="11" t="s">
        <v>51</v>
      </c>
      <c r="E109" s="11" t="s">
        <v>81</v>
      </c>
      <c r="F109" s="5">
        <v>10000000</v>
      </c>
      <c r="G109" s="18">
        <v>0.2</v>
      </c>
      <c r="H109" s="14">
        <v>12</v>
      </c>
      <c r="I109" s="3">
        <v>45606</v>
      </c>
      <c r="J109" s="11" t="s">
        <v>19</v>
      </c>
      <c r="K109" s="12" t="s">
        <v>800</v>
      </c>
      <c r="L109" s="12" t="s">
        <v>811</v>
      </c>
      <c r="M109" s="7">
        <v>75000000</v>
      </c>
      <c r="N109" s="12" t="str">
        <f t="shared" si="1"/>
        <v>HIGH RISK</v>
      </c>
      <c r="O109" t="str">
        <f>_xlfn.XLOOKUP(C109,[1]branches!$A$2:$A$11,[1]branches!$D$2:$D$11, "Not specified")</f>
        <v>South-West</v>
      </c>
    </row>
    <row r="110" spans="1:15" x14ac:dyDescent="0.3">
      <c r="A110" s="13" t="s">
        <v>244</v>
      </c>
      <c r="B110" s="13" t="s">
        <v>235</v>
      </c>
      <c r="C110" s="13" t="s">
        <v>17</v>
      </c>
      <c r="D110" s="13" t="s">
        <v>148</v>
      </c>
      <c r="E110" s="13" t="s">
        <v>760</v>
      </c>
      <c r="F110" s="6">
        <v>2000000</v>
      </c>
      <c r="G110" s="19">
        <v>0.16</v>
      </c>
      <c r="H110" s="15">
        <v>36</v>
      </c>
      <c r="I110" s="4">
        <v>45430</v>
      </c>
      <c r="J110" s="13" t="s">
        <v>14</v>
      </c>
      <c r="K110" s="12" t="s">
        <v>794</v>
      </c>
      <c r="L110" s="12" t="s">
        <v>821</v>
      </c>
      <c r="M110" s="7">
        <v>40000000</v>
      </c>
      <c r="N110" s="12" t="str">
        <f t="shared" si="1"/>
        <v>NORMAL</v>
      </c>
      <c r="O110" t="str">
        <f>_xlfn.XLOOKUP(C110,[1]branches!$A$2:$A$11,[1]branches!$D$2:$D$11, "Not specified")</f>
        <v>South-South</v>
      </c>
    </row>
    <row r="111" spans="1:15" x14ac:dyDescent="0.3">
      <c r="A111" s="11" t="s">
        <v>245</v>
      </c>
      <c r="B111" s="11" t="s">
        <v>246</v>
      </c>
      <c r="C111" s="11" t="s">
        <v>56</v>
      </c>
      <c r="D111" s="11" t="s">
        <v>57</v>
      </c>
      <c r="E111" s="11" t="s">
        <v>39</v>
      </c>
      <c r="F111" s="5">
        <v>10000000</v>
      </c>
      <c r="G111" s="18">
        <v>0.22</v>
      </c>
      <c r="H111" s="14">
        <v>18</v>
      </c>
      <c r="I111" s="3">
        <v>45551</v>
      </c>
      <c r="J111" s="11" t="s">
        <v>33</v>
      </c>
      <c r="K111" s="12" t="s">
        <v>801</v>
      </c>
      <c r="L111" s="12" t="s">
        <v>812</v>
      </c>
      <c r="M111" s="7">
        <v>50000000</v>
      </c>
      <c r="N111" s="12" t="str">
        <f t="shared" si="1"/>
        <v>NORMAL</v>
      </c>
      <c r="O111" t="str">
        <f>_xlfn.XLOOKUP(C111,[1]branches!$A$2:$A$11,[1]branches!$D$2:$D$11, "Not specified")</f>
        <v>South-West</v>
      </c>
    </row>
    <row r="112" spans="1:15" x14ac:dyDescent="0.3">
      <c r="A112" s="13" t="s">
        <v>247</v>
      </c>
      <c r="B112" s="13" t="s">
        <v>173</v>
      </c>
      <c r="C112" s="13" t="s">
        <v>17</v>
      </c>
      <c r="D112" s="13" t="s">
        <v>18</v>
      </c>
      <c r="E112" s="13" t="s">
        <v>760</v>
      </c>
      <c r="F112" s="6">
        <v>500000</v>
      </c>
      <c r="G112" s="19">
        <v>0.2</v>
      </c>
      <c r="H112" s="15">
        <v>12</v>
      </c>
      <c r="I112" s="4">
        <v>45557</v>
      </c>
      <c r="J112" s="13" t="s">
        <v>33</v>
      </c>
      <c r="K112" s="12" t="s">
        <v>794</v>
      </c>
      <c r="L112" s="12" t="s">
        <v>804</v>
      </c>
      <c r="M112" s="7">
        <v>75000000</v>
      </c>
      <c r="N112" s="12" t="str">
        <f t="shared" si="1"/>
        <v>NORMAL</v>
      </c>
      <c r="O112" t="str">
        <f>_xlfn.XLOOKUP(C112,[1]branches!$A$2:$A$11,[1]branches!$D$2:$D$11, "Not specified")</f>
        <v>South-South</v>
      </c>
    </row>
    <row r="113" spans="1:15" x14ac:dyDescent="0.3">
      <c r="A113" s="11" t="s">
        <v>248</v>
      </c>
      <c r="B113" s="11" t="s">
        <v>116</v>
      </c>
      <c r="C113" s="11" t="s">
        <v>46</v>
      </c>
      <c r="D113" s="11" t="s">
        <v>47</v>
      </c>
      <c r="E113" s="11" t="s">
        <v>81</v>
      </c>
      <c r="F113" s="5">
        <v>2000000</v>
      </c>
      <c r="G113" s="18">
        <v>0.16</v>
      </c>
      <c r="H113" s="14">
        <v>36</v>
      </c>
      <c r="I113" s="3">
        <v>45381</v>
      </c>
      <c r="J113" s="11" t="s">
        <v>14</v>
      </c>
      <c r="K113" s="12" t="s">
        <v>799</v>
      </c>
      <c r="L113" s="12" t="s">
        <v>810</v>
      </c>
      <c r="M113" s="7">
        <v>30000000</v>
      </c>
      <c r="N113" s="12" t="str">
        <f t="shared" si="1"/>
        <v>NORMAL</v>
      </c>
      <c r="O113" t="str">
        <f>_xlfn.XLOOKUP(C113,[1]branches!$A$2:$A$11,[1]branches!$D$2:$D$11, "Not specified")</f>
        <v>South-West</v>
      </c>
    </row>
    <row r="114" spans="1:15" x14ac:dyDescent="0.3">
      <c r="A114" s="13" t="s">
        <v>249</v>
      </c>
      <c r="B114" s="13" t="s">
        <v>41</v>
      </c>
      <c r="C114" s="13" t="s">
        <v>42</v>
      </c>
      <c r="D114" s="13" t="s">
        <v>43</v>
      </c>
      <c r="E114" s="13" t="s">
        <v>81</v>
      </c>
      <c r="F114" s="6">
        <v>2000000</v>
      </c>
      <c r="G114" s="19">
        <v>0.18</v>
      </c>
      <c r="H114" s="15">
        <v>36</v>
      </c>
      <c r="I114" s="4">
        <v>45605</v>
      </c>
      <c r="J114" s="13" t="s">
        <v>14</v>
      </c>
      <c r="K114" s="12" t="s">
        <v>798</v>
      </c>
      <c r="L114" s="12" t="s">
        <v>809</v>
      </c>
      <c r="M114" s="7">
        <v>40000000</v>
      </c>
      <c r="N114" s="12" t="str">
        <f t="shared" si="1"/>
        <v>NORMAL</v>
      </c>
      <c r="O114" t="str">
        <f>_xlfn.XLOOKUP(C114,[1]branches!$A$2:$A$11,[1]branches!$D$2:$D$11, "Not specified")</f>
        <v>North</v>
      </c>
    </row>
    <row r="115" spans="1:15" x14ac:dyDescent="0.3">
      <c r="A115" s="11" t="s">
        <v>250</v>
      </c>
      <c r="B115" s="11" t="s">
        <v>251</v>
      </c>
      <c r="C115" s="11" t="s">
        <v>50</v>
      </c>
      <c r="D115" s="11" t="s">
        <v>51</v>
      </c>
      <c r="E115" s="11" t="s">
        <v>39</v>
      </c>
      <c r="F115" s="5">
        <v>2000000</v>
      </c>
      <c r="G115" s="18">
        <v>0.22</v>
      </c>
      <c r="H115" s="14">
        <v>18</v>
      </c>
      <c r="I115" s="3">
        <v>45324</v>
      </c>
      <c r="J115" s="11" t="s">
        <v>14</v>
      </c>
      <c r="K115" s="12" t="s">
        <v>800</v>
      </c>
      <c r="L115" s="12" t="s">
        <v>811</v>
      </c>
      <c r="M115" s="7">
        <v>75000000</v>
      </c>
      <c r="N115" s="12" t="str">
        <f t="shared" si="1"/>
        <v>NORMAL</v>
      </c>
      <c r="O115" t="str">
        <f>_xlfn.XLOOKUP(C115,[1]branches!$A$2:$A$11,[1]branches!$D$2:$D$11, "Not specified")</f>
        <v>South-West</v>
      </c>
    </row>
    <row r="116" spans="1:15" x14ac:dyDescent="0.3">
      <c r="A116" s="13" t="s">
        <v>252</v>
      </c>
      <c r="B116" s="13" t="s">
        <v>118</v>
      </c>
      <c r="C116" s="13" t="s">
        <v>50</v>
      </c>
      <c r="D116" s="13" t="s">
        <v>51</v>
      </c>
      <c r="E116" s="13" t="s">
        <v>39</v>
      </c>
      <c r="F116" s="6">
        <v>1000000</v>
      </c>
      <c r="G116" s="19">
        <v>0.22</v>
      </c>
      <c r="H116" s="15">
        <v>18</v>
      </c>
      <c r="I116" s="4">
        <v>45643</v>
      </c>
      <c r="J116" s="13" t="s">
        <v>14</v>
      </c>
      <c r="K116" s="12" t="s">
        <v>800</v>
      </c>
      <c r="L116" s="12" t="s">
        <v>811</v>
      </c>
      <c r="M116" s="7">
        <v>75000000</v>
      </c>
      <c r="N116" s="12" t="str">
        <f t="shared" si="1"/>
        <v>NORMAL</v>
      </c>
      <c r="O116" t="str">
        <f>_xlfn.XLOOKUP(C116,[1]branches!$A$2:$A$11,[1]branches!$D$2:$D$11, "Not specified")</f>
        <v>South-West</v>
      </c>
    </row>
    <row r="117" spans="1:15" x14ac:dyDescent="0.3">
      <c r="A117" s="11" t="s">
        <v>253</v>
      </c>
      <c r="B117" s="11" t="s">
        <v>73</v>
      </c>
      <c r="C117" s="11" t="s">
        <v>56</v>
      </c>
      <c r="D117" s="11" t="s">
        <v>74</v>
      </c>
      <c r="E117" s="11" t="s">
        <v>760</v>
      </c>
      <c r="F117" s="5">
        <v>3000000</v>
      </c>
      <c r="G117" s="18">
        <v>0.24</v>
      </c>
      <c r="H117" s="14">
        <v>24</v>
      </c>
      <c r="I117" s="3">
        <v>45424</v>
      </c>
      <c r="J117" s="11" t="s">
        <v>14</v>
      </c>
      <c r="K117" s="12" t="s">
        <v>801</v>
      </c>
      <c r="L117" s="12" t="s">
        <v>816</v>
      </c>
      <c r="M117" s="7">
        <v>30000000</v>
      </c>
      <c r="N117" s="12" t="str">
        <f t="shared" si="1"/>
        <v>NORMAL</v>
      </c>
      <c r="O117" t="str">
        <f>_xlfn.XLOOKUP(C117,[1]branches!$A$2:$A$11,[1]branches!$D$2:$D$11, "Not specified")</f>
        <v>South-West</v>
      </c>
    </row>
    <row r="118" spans="1:15" x14ac:dyDescent="0.3">
      <c r="A118" s="13" t="s">
        <v>254</v>
      </c>
      <c r="B118" s="13" t="s">
        <v>255</v>
      </c>
      <c r="C118" s="13" t="s">
        <v>17</v>
      </c>
      <c r="D118" s="13" t="s">
        <v>18</v>
      </c>
      <c r="E118" s="13" t="s">
        <v>760</v>
      </c>
      <c r="F118" s="6">
        <v>5000000</v>
      </c>
      <c r="G118" s="19">
        <v>0.16</v>
      </c>
      <c r="H118" s="15">
        <v>36</v>
      </c>
      <c r="I118" s="4">
        <v>45490</v>
      </c>
      <c r="J118" s="13" t="s">
        <v>14</v>
      </c>
      <c r="K118" s="12" t="s">
        <v>794</v>
      </c>
      <c r="L118" s="12" t="s">
        <v>804</v>
      </c>
      <c r="M118" s="7">
        <v>75000000</v>
      </c>
      <c r="N118" s="12" t="str">
        <f t="shared" si="1"/>
        <v>NORMAL</v>
      </c>
      <c r="O118" t="str">
        <f>_xlfn.XLOOKUP(C118,[1]branches!$A$2:$A$11,[1]branches!$D$2:$D$11, "Not specified")</f>
        <v>South-South</v>
      </c>
    </row>
    <row r="119" spans="1:15" x14ac:dyDescent="0.3">
      <c r="A119" s="11" t="s">
        <v>256</v>
      </c>
      <c r="B119" s="11" t="s">
        <v>257</v>
      </c>
      <c r="C119" s="11" t="s">
        <v>17</v>
      </c>
      <c r="D119" s="11" t="s">
        <v>148</v>
      </c>
      <c r="E119" s="11" t="s">
        <v>760</v>
      </c>
      <c r="F119" s="5">
        <v>750000</v>
      </c>
      <c r="G119" s="18">
        <v>0.22</v>
      </c>
      <c r="H119" s="14">
        <v>6</v>
      </c>
      <c r="I119" s="3">
        <v>45333</v>
      </c>
      <c r="J119" s="11" t="s">
        <v>33</v>
      </c>
      <c r="K119" s="12" t="s">
        <v>794</v>
      </c>
      <c r="L119" s="12" t="s">
        <v>821</v>
      </c>
      <c r="M119" s="7">
        <v>40000000</v>
      </c>
      <c r="N119" s="12" t="str">
        <f t="shared" si="1"/>
        <v>NORMAL</v>
      </c>
      <c r="O119" t="str">
        <f>_xlfn.XLOOKUP(C119,[1]branches!$A$2:$A$11,[1]branches!$D$2:$D$11, "Not specified")</f>
        <v>South-South</v>
      </c>
    </row>
    <row r="120" spans="1:15" x14ac:dyDescent="0.3">
      <c r="A120" s="13" t="s">
        <v>258</v>
      </c>
      <c r="B120" s="13" t="s">
        <v>259</v>
      </c>
      <c r="C120" s="13" t="s">
        <v>36</v>
      </c>
      <c r="D120" s="13" t="s">
        <v>121</v>
      </c>
      <c r="E120" s="13" t="s">
        <v>760</v>
      </c>
      <c r="F120" s="6">
        <v>5000000</v>
      </c>
      <c r="G120" s="19">
        <v>0.18</v>
      </c>
      <c r="H120" s="15">
        <v>12</v>
      </c>
      <c r="I120" s="4">
        <v>45397</v>
      </c>
      <c r="J120" s="13" t="s">
        <v>14</v>
      </c>
      <c r="K120" s="12" t="s">
        <v>797</v>
      </c>
      <c r="L120" s="12" t="s">
        <v>818</v>
      </c>
      <c r="M120" s="7">
        <v>30000000</v>
      </c>
      <c r="N120" s="12" t="str">
        <f t="shared" si="1"/>
        <v>NORMAL</v>
      </c>
      <c r="O120" t="str">
        <f>_xlfn.XLOOKUP(C120,[1]branches!$A$2:$A$11,[1]branches!$D$2:$D$11, "Not specified")</f>
        <v>South-South</v>
      </c>
    </row>
    <row r="121" spans="1:15" x14ac:dyDescent="0.3">
      <c r="A121" s="11" t="s">
        <v>260</v>
      </c>
      <c r="B121" s="11" t="s">
        <v>261</v>
      </c>
      <c r="C121" s="11" t="s">
        <v>46</v>
      </c>
      <c r="D121" s="11" t="s">
        <v>47</v>
      </c>
      <c r="E121" s="11" t="s">
        <v>39</v>
      </c>
      <c r="F121" s="5">
        <v>10000000</v>
      </c>
      <c r="G121" s="18">
        <v>0.22</v>
      </c>
      <c r="H121" s="14">
        <v>36</v>
      </c>
      <c r="I121" s="3">
        <v>45467</v>
      </c>
      <c r="J121" s="11" t="s">
        <v>14</v>
      </c>
      <c r="K121" s="12" t="s">
        <v>799</v>
      </c>
      <c r="L121" s="12" t="s">
        <v>810</v>
      </c>
      <c r="M121" s="7">
        <v>30000000</v>
      </c>
      <c r="N121" s="12" t="str">
        <f t="shared" si="1"/>
        <v>NORMAL</v>
      </c>
      <c r="O121" t="str">
        <f>_xlfn.XLOOKUP(C121,[1]branches!$A$2:$A$11,[1]branches!$D$2:$D$11, "Not specified")</f>
        <v>South-West</v>
      </c>
    </row>
    <row r="122" spans="1:15" x14ac:dyDescent="0.3">
      <c r="A122" s="13" t="s">
        <v>262</v>
      </c>
      <c r="B122" s="13" t="s">
        <v>263</v>
      </c>
      <c r="C122" s="13" t="s">
        <v>26</v>
      </c>
      <c r="D122" s="13" t="s">
        <v>27</v>
      </c>
      <c r="E122" s="13" t="s">
        <v>760</v>
      </c>
      <c r="F122" s="6">
        <v>500000</v>
      </c>
      <c r="G122" s="19">
        <v>0.24</v>
      </c>
      <c r="H122" s="15">
        <v>24</v>
      </c>
      <c r="I122" s="4">
        <v>45630</v>
      </c>
      <c r="J122" s="13" t="s">
        <v>33</v>
      </c>
      <c r="K122" s="12" t="s">
        <v>796</v>
      </c>
      <c r="L122" s="12" t="s">
        <v>806</v>
      </c>
      <c r="M122" s="7">
        <v>50000000</v>
      </c>
      <c r="N122" s="12" t="str">
        <f t="shared" si="1"/>
        <v>NORMAL</v>
      </c>
      <c r="O122" t="str">
        <f>_xlfn.XLOOKUP(C122,[1]branches!$A$2:$A$11,[1]branches!$D$2:$D$11, "Not specified")</f>
        <v>North</v>
      </c>
    </row>
    <row r="123" spans="1:15" x14ac:dyDescent="0.3">
      <c r="A123" s="11" t="s">
        <v>264</v>
      </c>
      <c r="B123" s="11" t="s">
        <v>98</v>
      </c>
      <c r="C123" s="11" t="s">
        <v>36</v>
      </c>
      <c r="D123" s="11" t="s">
        <v>37</v>
      </c>
      <c r="E123" s="11" t="s">
        <v>760</v>
      </c>
      <c r="F123" s="5">
        <v>3000000</v>
      </c>
      <c r="G123" s="18">
        <v>0.16</v>
      </c>
      <c r="H123" s="14">
        <v>36</v>
      </c>
      <c r="I123" s="3">
        <v>45576</v>
      </c>
      <c r="J123" s="11" t="s">
        <v>33</v>
      </c>
      <c r="K123" s="12" t="s">
        <v>797</v>
      </c>
      <c r="L123" s="12" t="s">
        <v>808</v>
      </c>
      <c r="M123" s="7">
        <v>40000000</v>
      </c>
      <c r="N123" s="12" t="str">
        <f t="shared" si="1"/>
        <v>NORMAL</v>
      </c>
      <c r="O123" t="str">
        <f>_xlfn.XLOOKUP(C123,[1]branches!$A$2:$A$11,[1]branches!$D$2:$D$11, "Not specified")</f>
        <v>South-South</v>
      </c>
    </row>
    <row r="124" spans="1:15" x14ac:dyDescent="0.3">
      <c r="A124" s="13" t="s">
        <v>265</v>
      </c>
      <c r="B124" s="13" t="s">
        <v>266</v>
      </c>
      <c r="C124" s="13" t="s">
        <v>26</v>
      </c>
      <c r="D124" s="13" t="s">
        <v>66</v>
      </c>
      <c r="E124" s="13" t="s">
        <v>760</v>
      </c>
      <c r="F124" s="6">
        <v>10000000</v>
      </c>
      <c r="G124" s="19">
        <v>0.22</v>
      </c>
      <c r="H124" s="15">
        <v>36</v>
      </c>
      <c r="I124" s="4">
        <v>45476</v>
      </c>
      <c r="J124" s="13" t="s">
        <v>33</v>
      </c>
      <c r="K124" s="12" t="s">
        <v>796</v>
      </c>
      <c r="L124" s="12" t="s">
        <v>814</v>
      </c>
      <c r="M124" s="7">
        <v>60000000</v>
      </c>
      <c r="N124" s="12" t="str">
        <f t="shared" si="1"/>
        <v>NORMAL</v>
      </c>
      <c r="O124" t="str">
        <f>_xlfn.XLOOKUP(C124,[1]branches!$A$2:$A$11,[1]branches!$D$2:$D$11, "Not specified")</f>
        <v>North</v>
      </c>
    </row>
    <row r="125" spans="1:15" x14ac:dyDescent="0.3">
      <c r="A125" s="11" t="s">
        <v>267</v>
      </c>
      <c r="B125" s="11" t="s">
        <v>25</v>
      </c>
      <c r="C125" s="11" t="s">
        <v>26</v>
      </c>
      <c r="D125" s="11" t="s">
        <v>27</v>
      </c>
      <c r="E125" s="11" t="s">
        <v>760</v>
      </c>
      <c r="F125" s="5">
        <v>2000000</v>
      </c>
      <c r="G125" s="18">
        <v>0.18</v>
      </c>
      <c r="H125" s="14">
        <v>12</v>
      </c>
      <c r="I125" s="3">
        <v>45549</v>
      </c>
      <c r="J125" s="11" t="s">
        <v>14</v>
      </c>
      <c r="K125" s="12" t="s">
        <v>796</v>
      </c>
      <c r="L125" s="12" t="s">
        <v>806</v>
      </c>
      <c r="M125" s="7">
        <v>50000000</v>
      </c>
      <c r="N125" s="12" t="str">
        <f t="shared" si="1"/>
        <v>NORMAL</v>
      </c>
      <c r="O125" t="str">
        <f>_xlfn.XLOOKUP(C125,[1]branches!$A$2:$A$11,[1]branches!$D$2:$D$11, "Not specified")</f>
        <v>North</v>
      </c>
    </row>
    <row r="126" spans="1:15" x14ac:dyDescent="0.3">
      <c r="A126" s="13" t="s">
        <v>268</v>
      </c>
      <c r="B126" s="13" t="s">
        <v>59</v>
      </c>
      <c r="C126" s="13" t="s">
        <v>60</v>
      </c>
      <c r="D126" s="13" t="s">
        <v>61</v>
      </c>
      <c r="E126" s="13" t="s">
        <v>760</v>
      </c>
      <c r="F126" s="6">
        <v>1500000</v>
      </c>
      <c r="G126" s="19">
        <v>0.18</v>
      </c>
      <c r="H126" s="15">
        <v>6</v>
      </c>
      <c r="I126" s="4">
        <v>45475</v>
      </c>
      <c r="J126" s="13" t="s">
        <v>14</v>
      </c>
      <c r="K126" s="12" t="s">
        <v>802</v>
      </c>
      <c r="L126" s="12" t="s">
        <v>813</v>
      </c>
      <c r="M126" s="7">
        <v>75000000</v>
      </c>
      <c r="N126" s="12" t="str">
        <f t="shared" si="1"/>
        <v>NORMAL</v>
      </c>
      <c r="O126" t="str">
        <f>_xlfn.XLOOKUP(C126,[1]branches!$A$2:$A$11,[1]branches!$D$2:$D$11, "Not specified")</f>
        <v>North</v>
      </c>
    </row>
    <row r="127" spans="1:15" x14ac:dyDescent="0.3">
      <c r="A127" s="11" t="s">
        <v>269</v>
      </c>
      <c r="B127" s="11" t="s">
        <v>182</v>
      </c>
      <c r="C127" s="11" t="s">
        <v>12</v>
      </c>
      <c r="D127" s="11" t="s">
        <v>13</v>
      </c>
      <c r="E127" s="11" t="s">
        <v>760</v>
      </c>
      <c r="F127" s="5">
        <v>500000</v>
      </c>
      <c r="G127" s="18">
        <v>0.2</v>
      </c>
      <c r="H127" s="14">
        <v>36</v>
      </c>
      <c r="I127" s="3">
        <v>45611</v>
      </c>
      <c r="J127" s="11" t="s">
        <v>19</v>
      </c>
      <c r="K127" s="12" t="s">
        <v>793</v>
      </c>
      <c r="L127" s="12" t="s">
        <v>803</v>
      </c>
      <c r="M127" s="7">
        <v>75000000</v>
      </c>
      <c r="N127" s="12" t="str">
        <f t="shared" si="1"/>
        <v>AT RISK</v>
      </c>
      <c r="O127" t="str">
        <f>_xlfn.XLOOKUP(C127,[1]branches!$A$2:$A$11,[1]branches!$D$2:$D$11, "Not specified")</f>
        <v>North</v>
      </c>
    </row>
    <row r="128" spans="1:15" x14ac:dyDescent="0.3">
      <c r="A128" s="13" t="s">
        <v>270</v>
      </c>
      <c r="B128" s="13" t="s">
        <v>271</v>
      </c>
      <c r="C128" s="13" t="s">
        <v>26</v>
      </c>
      <c r="D128" s="13" t="s">
        <v>66</v>
      </c>
      <c r="E128" s="13" t="s">
        <v>760</v>
      </c>
      <c r="F128" s="6">
        <v>3000000</v>
      </c>
      <c r="G128" s="19">
        <v>0.22</v>
      </c>
      <c r="H128" s="15">
        <v>24</v>
      </c>
      <c r="I128" s="4">
        <v>45292</v>
      </c>
      <c r="J128" s="13" t="s">
        <v>19</v>
      </c>
      <c r="K128" s="12" t="s">
        <v>796</v>
      </c>
      <c r="L128" s="12" t="s">
        <v>814</v>
      </c>
      <c r="M128" s="7">
        <v>60000000</v>
      </c>
      <c r="N128" s="12" t="str">
        <f t="shared" si="1"/>
        <v>HIGH RISK</v>
      </c>
      <c r="O128" t="str">
        <f>_xlfn.XLOOKUP(C128,[1]branches!$A$2:$A$11,[1]branches!$D$2:$D$11, "Not specified")</f>
        <v>North</v>
      </c>
    </row>
    <row r="129" spans="1:15" x14ac:dyDescent="0.3">
      <c r="A129" s="11" t="s">
        <v>272</v>
      </c>
      <c r="B129" s="11" t="s">
        <v>224</v>
      </c>
      <c r="C129" s="11" t="s">
        <v>22</v>
      </c>
      <c r="D129" s="11" t="s">
        <v>30</v>
      </c>
      <c r="E129" s="11" t="s">
        <v>760</v>
      </c>
      <c r="F129" s="5">
        <v>3000000</v>
      </c>
      <c r="G129" s="18">
        <v>0.24</v>
      </c>
      <c r="H129" s="14">
        <v>18</v>
      </c>
      <c r="I129" s="3">
        <v>45567</v>
      </c>
      <c r="J129" s="11" t="s">
        <v>14</v>
      </c>
      <c r="K129" s="12" t="s">
        <v>795</v>
      </c>
      <c r="L129" s="12" t="s">
        <v>807</v>
      </c>
      <c r="M129" s="7">
        <v>30000000</v>
      </c>
      <c r="N129" s="12" t="str">
        <f t="shared" si="1"/>
        <v>NORMAL</v>
      </c>
      <c r="O129" t="str">
        <f>_xlfn.XLOOKUP(C129,[1]branches!$A$2:$A$11,[1]branches!$D$2:$D$11, "Not specified")</f>
        <v>North</v>
      </c>
    </row>
    <row r="130" spans="1:15" x14ac:dyDescent="0.3">
      <c r="A130" s="13" t="s">
        <v>273</v>
      </c>
      <c r="B130" s="13" t="s">
        <v>274</v>
      </c>
      <c r="C130" s="13" t="s">
        <v>46</v>
      </c>
      <c r="D130" s="13" t="s">
        <v>47</v>
      </c>
      <c r="E130" s="13" t="s">
        <v>39</v>
      </c>
      <c r="F130" s="6">
        <v>500000</v>
      </c>
      <c r="G130" s="19">
        <v>0.18</v>
      </c>
      <c r="H130" s="15">
        <v>18</v>
      </c>
      <c r="I130" s="4">
        <v>45308</v>
      </c>
      <c r="J130" s="13" t="s">
        <v>14</v>
      </c>
      <c r="K130" s="12" t="s">
        <v>799</v>
      </c>
      <c r="L130" s="12" t="s">
        <v>810</v>
      </c>
      <c r="M130" s="7">
        <v>30000000</v>
      </c>
      <c r="N130" s="12" t="str">
        <f t="shared" ref="N130:N193" si="2">IF(AND(J130="Defaulted",F130&gt;2000000), "HIGH RISK", IF(J130="Defaulted", "AT RISK", "NORMAL"))</f>
        <v>NORMAL</v>
      </c>
      <c r="O130" t="str">
        <f>_xlfn.XLOOKUP(C130,[1]branches!$A$2:$A$11,[1]branches!$D$2:$D$11, "Not specified")</f>
        <v>South-West</v>
      </c>
    </row>
    <row r="131" spans="1:15" x14ac:dyDescent="0.3">
      <c r="A131" s="11" t="s">
        <v>275</v>
      </c>
      <c r="B131" s="11" t="s">
        <v>255</v>
      </c>
      <c r="C131" s="11" t="s">
        <v>17</v>
      </c>
      <c r="D131" s="11" t="s">
        <v>18</v>
      </c>
      <c r="E131" s="11" t="s">
        <v>760</v>
      </c>
      <c r="F131" s="5">
        <v>10000000</v>
      </c>
      <c r="G131" s="18">
        <v>0.18</v>
      </c>
      <c r="H131" s="14">
        <v>6</v>
      </c>
      <c r="I131" s="3">
        <v>45386</v>
      </c>
      <c r="J131" s="11" t="s">
        <v>14</v>
      </c>
      <c r="K131" s="12" t="s">
        <v>794</v>
      </c>
      <c r="L131" s="12" t="s">
        <v>804</v>
      </c>
      <c r="M131" s="7">
        <v>75000000</v>
      </c>
      <c r="N131" s="12" t="str">
        <f t="shared" si="2"/>
        <v>NORMAL</v>
      </c>
      <c r="O131" t="str">
        <f>_xlfn.XLOOKUP(C131,[1]branches!$A$2:$A$11,[1]branches!$D$2:$D$11, "Not specified")</f>
        <v>South-South</v>
      </c>
    </row>
    <row r="132" spans="1:15" x14ac:dyDescent="0.3">
      <c r="A132" s="13" t="s">
        <v>276</v>
      </c>
      <c r="B132" s="13" t="s">
        <v>160</v>
      </c>
      <c r="C132" s="13" t="s">
        <v>42</v>
      </c>
      <c r="D132" s="13" t="s">
        <v>43</v>
      </c>
      <c r="E132" s="13" t="s">
        <v>760</v>
      </c>
      <c r="F132" s="6">
        <v>500000</v>
      </c>
      <c r="G132" s="19">
        <v>0.18</v>
      </c>
      <c r="H132" s="15">
        <v>12</v>
      </c>
      <c r="I132" s="4">
        <v>45642</v>
      </c>
      <c r="J132" s="13" t="s">
        <v>33</v>
      </c>
      <c r="K132" s="12" t="s">
        <v>798</v>
      </c>
      <c r="L132" s="12" t="s">
        <v>809</v>
      </c>
      <c r="M132" s="7">
        <v>40000000</v>
      </c>
      <c r="N132" s="12" t="str">
        <f t="shared" si="2"/>
        <v>NORMAL</v>
      </c>
      <c r="O132" t="str">
        <f>_xlfn.XLOOKUP(C132,[1]branches!$A$2:$A$11,[1]branches!$D$2:$D$11, "Not specified")</f>
        <v>North</v>
      </c>
    </row>
    <row r="133" spans="1:15" x14ac:dyDescent="0.3">
      <c r="A133" s="11" t="s">
        <v>277</v>
      </c>
      <c r="B133" s="11" t="s">
        <v>32</v>
      </c>
      <c r="C133" s="11" t="s">
        <v>22</v>
      </c>
      <c r="D133" s="11" t="s">
        <v>30</v>
      </c>
      <c r="E133" s="11" t="s">
        <v>760</v>
      </c>
      <c r="F133" s="5">
        <v>500000</v>
      </c>
      <c r="G133" s="18">
        <v>0.2</v>
      </c>
      <c r="H133" s="14">
        <v>12</v>
      </c>
      <c r="I133" s="3">
        <v>45456</v>
      </c>
      <c r="J133" s="11" t="s">
        <v>33</v>
      </c>
      <c r="K133" s="12" t="s">
        <v>795</v>
      </c>
      <c r="L133" s="12" t="s">
        <v>807</v>
      </c>
      <c r="M133" s="7">
        <v>30000000</v>
      </c>
      <c r="N133" s="12" t="str">
        <f t="shared" si="2"/>
        <v>NORMAL</v>
      </c>
      <c r="O133" t="str">
        <f>_xlfn.XLOOKUP(C133,[1]branches!$A$2:$A$11,[1]branches!$D$2:$D$11, "Not specified")</f>
        <v>North</v>
      </c>
    </row>
    <row r="134" spans="1:15" x14ac:dyDescent="0.3">
      <c r="A134" s="11" t="s">
        <v>278</v>
      </c>
      <c r="B134" s="11" t="s">
        <v>279</v>
      </c>
      <c r="C134" s="11" t="s">
        <v>60</v>
      </c>
      <c r="D134" s="11" t="s">
        <v>61</v>
      </c>
      <c r="E134" s="11" t="s">
        <v>760</v>
      </c>
      <c r="F134" s="5">
        <v>3000000</v>
      </c>
      <c r="G134" s="18">
        <v>0.22</v>
      </c>
      <c r="H134" s="14">
        <v>18</v>
      </c>
      <c r="I134" s="3">
        <v>45585</v>
      </c>
      <c r="J134" s="11" t="s">
        <v>14</v>
      </c>
      <c r="K134" s="12" t="s">
        <v>802</v>
      </c>
      <c r="L134" s="12" t="s">
        <v>813</v>
      </c>
      <c r="M134" s="7">
        <v>75000000</v>
      </c>
      <c r="N134" s="12" t="str">
        <f t="shared" si="2"/>
        <v>NORMAL</v>
      </c>
      <c r="O134" t="str">
        <f>_xlfn.XLOOKUP(C134,[1]branches!$A$2:$A$11,[1]branches!$D$2:$D$11,"No apecified")</f>
        <v>North</v>
      </c>
    </row>
    <row r="135" spans="1:15" x14ac:dyDescent="0.3">
      <c r="A135" s="13" t="s">
        <v>280</v>
      </c>
      <c r="B135" s="13" t="s">
        <v>281</v>
      </c>
      <c r="C135" s="13" t="s">
        <v>42</v>
      </c>
      <c r="D135" s="13" t="s">
        <v>282</v>
      </c>
      <c r="E135" s="13" t="s">
        <v>760</v>
      </c>
      <c r="F135" s="6">
        <v>1000000</v>
      </c>
      <c r="G135" s="19">
        <v>0.16</v>
      </c>
      <c r="H135" s="15">
        <v>18</v>
      </c>
      <c r="I135" s="4">
        <v>45302</v>
      </c>
      <c r="J135" s="13" t="s">
        <v>19</v>
      </c>
      <c r="K135" s="12" t="s">
        <v>798</v>
      </c>
      <c r="L135" s="12" t="s">
        <v>822</v>
      </c>
      <c r="M135" s="7">
        <v>50000000</v>
      </c>
      <c r="N135" s="12" t="str">
        <f t="shared" si="2"/>
        <v>AT RISK</v>
      </c>
      <c r="O135" t="str">
        <f>_xlfn.XLOOKUP(C135,[1]branches!$A$2:$A$11,[1]branches!$D$2:$D$11,"No apecified")</f>
        <v>North</v>
      </c>
    </row>
    <row r="136" spans="1:15" x14ac:dyDescent="0.3">
      <c r="A136" s="11" t="s">
        <v>283</v>
      </c>
      <c r="B136" s="11" t="s">
        <v>112</v>
      </c>
      <c r="C136" s="11" t="s">
        <v>26</v>
      </c>
      <c r="D136" s="11" t="s">
        <v>27</v>
      </c>
      <c r="E136" s="11" t="s">
        <v>39</v>
      </c>
      <c r="F136" s="5">
        <v>500000</v>
      </c>
      <c r="G136" s="18">
        <v>0.16</v>
      </c>
      <c r="H136" s="14">
        <v>12</v>
      </c>
      <c r="I136" s="3">
        <v>45607</v>
      </c>
      <c r="J136" s="11" t="s">
        <v>33</v>
      </c>
      <c r="K136" s="12" t="s">
        <v>796</v>
      </c>
      <c r="L136" s="12" t="s">
        <v>806</v>
      </c>
      <c r="M136" s="7">
        <v>50000000</v>
      </c>
      <c r="N136" s="12" t="str">
        <f t="shared" si="2"/>
        <v>NORMAL</v>
      </c>
      <c r="O136" t="str">
        <f>_xlfn.XLOOKUP(C136,[1]branches!$A$2:$A$11,[1]branches!$D$2:$D$11,"No apecified")</f>
        <v>North</v>
      </c>
    </row>
    <row r="137" spans="1:15" x14ac:dyDescent="0.3">
      <c r="A137" s="13" t="s">
        <v>284</v>
      </c>
      <c r="B137" s="13" t="s">
        <v>285</v>
      </c>
      <c r="C137" s="13" t="s">
        <v>17</v>
      </c>
      <c r="D137" s="13" t="s">
        <v>18</v>
      </c>
      <c r="E137" s="13" t="s">
        <v>81</v>
      </c>
      <c r="F137" s="6">
        <v>2000000</v>
      </c>
      <c r="G137" s="19">
        <v>0.24</v>
      </c>
      <c r="H137" s="15">
        <v>24</v>
      </c>
      <c r="I137" s="4">
        <v>45430</v>
      </c>
      <c r="J137" s="13" t="s">
        <v>14</v>
      </c>
      <c r="K137" s="12" t="s">
        <v>794</v>
      </c>
      <c r="L137" s="12" t="s">
        <v>804</v>
      </c>
      <c r="M137" s="7">
        <v>75000000</v>
      </c>
      <c r="N137" s="12" t="str">
        <f t="shared" si="2"/>
        <v>NORMAL</v>
      </c>
      <c r="O137" t="str">
        <f>_xlfn.XLOOKUP(C137,[1]branches!$A$2:$A$11,[1]branches!$D$2:$D$11,"No apecified")</f>
        <v>South-South</v>
      </c>
    </row>
    <row r="138" spans="1:15" x14ac:dyDescent="0.3">
      <c r="A138" s="11" t="s">
        <v>286</v>
      </c>
      <c r="B138" s="11" t="s">
        <v>287</v>
      </c>
      <c r="C138" s="11" t="s">
        <v>12</v>
      </c>
      <c r="D138" s="11" t="s">
        <v>145</v>
      </c>
      <c r="E138" s="11" t="s">
        <v>81</v>
      </c>
      <c r="F138" s="5">
        <v>1500000</v>
      </c>
      <c r="G138" s="18">
        <v>0.2</v>
      </c>
      <c r="H138" s="14">
        <v>18</v>
      </c>
      <c r="I138" s="3">
        <v>45523</v>
      </c>
      <c r="J138" s="11" t="s">
        <v>33</v>
      </c>
      <c r="K138" s="12" t="s">
        <v>793</v>
      </c>
      <c r="L138" s="12" t="s">
        <v>820</v>
      </c>
      <c r="M138" s="7">
        <v>40000000</v>
      </c>
      <c r="N138" s="12" t="str">
        <f t="shared" si="2"/>
        <v>NORMAL</v>
      </c>
      <c r="O138" t="str">
        <f>_xlfn.XLOOKUP(C138,[1]branches!$A$2:$A$11,[1]branches!$D$2:$D$11,"No apecified")</f>
        <v>North</v>
      </c>
    </row>
    <row r="139" spans="1:15" x14ac:dyDescent="0.3">
      <c r="A139" s="13" t="s">
        <v>288</v>
      </c>
      <c r="B139" s="13" t="s">
        <v>289</v>
      </c>
      <c r="C139" s="13" t="s">
        <v>36</v>
      </c>
      <c r="D139" s="13" t="s">
        <v>37</v>
      </c>
      <c r="E139" s="13" t="s">
        <v>81</v>
      </c>
      <c r="F139" s="6">
        <v>7500000</v>
      </c>
      <c r="G139" s="19">
        <v>0.2</v>
      </c>
      <c r="H139" s="15">
        <v>36</v>
      </c>
      <c r="I139" s="4">
        <v>45467</v>
      </c>
      <c r="J139" s="13" t="s">
        <v>14</v>
      </c>
      <c r="K139" s="12" t="s">
        <v>797</v>
      </c>
      <c r="L139" s="12" t="s">
        <v>808</v>
      </c>
      <c r="M139" s="7">
        <v>40000000</v>
      </c>
      <c r="N139" s="12" t="str">
        <f t="shared" si="2"/>
        <v>NORMAL</v>
      </c>
      <c r="O139" t="str">
        <f>_xlfn.XLOOKUP(C139,[1]branches!$A$2:$A$11,[1]branches!$D$2:$D$11,"No apecified")</f>
        <v>South-South</v>
      </c>
    </row>
    <row r="140" spans="1:15" x14ac:dyDescent="0.3">
      <c r="A140" s="11" t="s">
        <v>290</v>
      </c>
      <c r="B140" s="11" t="s">
        <v>169</v>
      </c>
      <c r="C140" s="11" t="s">
        <v>36</v>
      </c>
      <c r="D140" s="11" t="s">
        <v>37</v>
      </c>
      <c r="E140" s="11" t="s">
        <v>760</v>
      </c>
      <c r="F140" s="5">
        <v>1500000</v>
      </c>
      <c r="G140" s="18">
        <v>0.24</v>
      </c>
      <c r="H140" s="14">
        <v>24</v>
      </c>
      <c r="I140" s="3">
        <v>45383</v>
      </c>
      <c r="J140" s="11" t="s">
        <v>14</v>
      </c>
      <c r="K140" s="12" t="s">
        <v>797</v>
      </c>
      <c r="L140" s="12" t="s">
        <v>808</v>
      </c>
      <c r="M140" s="7">
        <v>40000000</v>
      </c>
      <c r="N140" s="12" t="str">
        <f t="shared" si="2"/>
        <v>NORMAL</v>
      </c>
      <c r="O140" t="str">
        <f>_xlfn.XLOOKUP(C140,[1]branches!$A$2:$A$11,[1]branches!$D$2:$D$11,"No apecified")</f>
        <v>South-South</v>
      </c>
    </row>
    <row r="141" spans="1:15" x14ac:dyDescent="0.3">
      <c r="A141" s="11" t="s">
        <v>291</v>
      </c>
      <c r="B141" s="11" t="s">
        <v>78</v>
      </c>
      <c r="C141" s="11" t="s">
        <v>46</v>
      </c>
      <c r="D141" s="11" t="s">
        <v>47</v>
      </c>
      <c r="E141" s="11" t="s">
        <v>39</v>
      </c>
      <c r="F141" s="5">
        <v>5000000</v>
      </c>
      <c r="G141" s="18">
        <v>0.24</v>
      </c>
      <c r="H141" s="14">
        <v>18</v>
      </c>
      <c r="I141" s="3">
        <v>45616</v>
      </c>
      <c r="J141" s="11" t="s">
        <v>14</v>
      </c>
      <c r="K141" s="12" t="s">
        <v>799</v>
      </c>
      <c r="L141" s="12" t="s">
        <v>810</v>
      </c>
      <c r="M141" s="7">
        <v>30000000</v>
      </c>
      <c r="N141" s="12" t="str">
        <f t="shared" si="2"/>
        <v>NORMAL</v>
      </c>
      <c r="O141" t="str">
        <f>_xlfn.XLOOKUP(C141,[1]branches!$A$2:$A$11,[1]branches!$D$2:$D$11,"No apecified")</f>
        <v>South-West</v>
      </c>
    </row>
    <row r="142" spans="1:15" x14ac:dyDescent="0.3">
      <c r="A142" s="13" t="s">
        <v>292</v>
      </c>
      <c r="B142" s="13" t="s">
        <v>160</v>
      </c>
      <c r="C142" s="13" t="s">
        <v>42</v>
      </c>
      <c r="D142" s="13" t="s">
        <v>43</v>
      </c>
      <c r="E142" s="13" t="s">
        <v>760</v>
      </c>
      <c r="F142" s="6">
        <v>2000000</v>
      </c>
      <c r="G142" s="19">
        <v>0.24</v>
      </c>
      <c r="H142" s="15">
        <v>36</v>
      </c>
      <c r="I142" s="4">
        <v>45338</v>
      </c>
      <c r="J142" s="13" t="s">
        <v>14</v>
      </c>
      <c r="K142" s="12" t="s">
        <v>798</v>
      </c>
      <c r="L142" s="12" t="s">
        <v>809</v>
      </c>
      <c r="M142" s="7">
        <v>40000000</v>
      </c>
      <c r="N142" s="12" t="str">
        <f t="shared" si="2"/>
        <v>NORMAL</v>
      </c>
      <c r="O142" t="str">
        <f>_xlfn.XLOOKUP(C142,[1]branches!$A$2:$A$11,[1]branches!$D$2:$D$11,"No apecified")</f>
        <v>North</v>
      </c>
    </row>
    <row r="143" spans="1:15" x14ac:dyDescent="0.3">
      <c r="A143" s="11" t="s">
        <v>293</v>
      </c>
      <c r="B143" s="11" t="s">
        <v>294</v>
      </c>
      <c r="C143" s="11" t="s">
        <v>56</v>
      </c>
      <c r="D143" s="11" t="s">
        <v>74</v>
      </c>
      <c r="E143" s="11" t="s">
        <v>81</v>
      </c>
      <c r="F143" s="5">
        <v>2000000</v>
      </c>
      <c r="G143" s="18">
        <v>0.24</v>
      </c>
      <c r="H143" s="14">
        <v>12</v>
      </c>
      <c r="I143" s="3">
        <v>45587</v>
      </c>
      <c r="J143" s="11" t="s">
        <v>19</v>
      </c>
      <c r="K143" s="12" t="s">
        <v>801</v>
      </c>
      <c r="L143" s="12" t="s">
        <v>816</v>
      </c>
      <c r="M143" s="7">
        <v>30000000</v>
      </c>
      <c r="N143" s="12" t="str">
        <f t="shared" si="2"/>
        <v>AT RISK</v>
      </c>
      <c r="O143" t="str">
        <f>_xlfn.XLOOKUP(C143,[1]branches!$A$2:$A$11,[1]branches!$D$2:$D$11,"No apecified")</f>
        <v>South-West</v>
      </c>
    </row>
    <row r="144" spans="1:15" x14ac:dyDescent="0.3">
      <c r="A144" s="13" t="s">
        <v>295</v>
      </c>
      <c r="B144" s="13" t="s">
        <v>296</v>
      </c>
      <c r="C144" s="13" t="s">
        <v>36</v>
      </c>
      <c r="D144" s="13" t="s">
        <v>121</v>
      </c>
      <c r="E144" s="13" t="s">
        <v>81</v>
      </c>
      <c r="F144" s="6">
        <v>750000</v>
      </c>
      <c r="G144" s="19">
        <v>0.2</v>
      </c>
      <c r="H144" s="15">
        <v>6</v>
      </c>
      <c r="I144" s="4">
        <v>45309</v>
      </c>
      <c r="J144" s="13" t="s">
        <v>14</v>
      </c>
      <c r="K144" s="12" t="s">
        <v>797</v>
      </c>
      <c r="L144" s="12" t="s">
        <v>818</v>
      </c>
      <c r="M144" s="7">
        <v>30000000</v>
      </c>
      <c r="N144" s="12" t="str">
        <f t="shared" si="2"/>
        <v>NORMAL</v>
      </c>
      <c r="O144" t="str">
        <f>_xlfn.XLOOKUP(C144,[1]branches!$A$2:$A$11,[1]branches!$D$2:$D$11,"No apecified")</f>
        <v>South-South</v>
      </c>
    </row>
    <row r="145" spans="1:15" x14ac:dyDescent="0.3">
      <c r="A145" s="11" t="s">
        <v>297</v>
      </c>
      <c r="B145" s="11" t="s">
        <v>298</v>
      </c>
      <c r="C145" s="11" t="s">
        <v>42</v>
      </c>
      <c r="D145" s="11" t="s">
        <v>282</v>
      </c>
      <c r="E145" s="11" t="s">
        <v>760</v>
      </c>
      <c r="F145" s="5">
        <v>1000000</v>
      </c>
      <c r="G145" s="18">
        <v>0.18</v>
      </c>
      <c r="H145" s="14">
        <v>24</v>
      </c>
      <c r="I145" s="3">
        <v>45373</v>
      </c>
      <c r="J145" s="11" t="s">
        <v>19</v>
      </c>
      <c r="K145" s="12" t="s">
        <v>798</v>
      </c>
      <c r="L145" s="12" t="s">
        <v>822</v>
      </c>
      <c r="M145" s="7">
        <v>50000000</v>
      </c>
      <c r="N145" s="12" t="str">
        <f t="shared" si="2"/>
        <v>AT RISK</v>
      </c>
      <c r="O145" t="str">
        <f>_xlfn.XLOOKUP(C145,[1]branches!$A$2:$A$11,[1]branches!$D$2:$D$11,"No apecified")</f>
        <v>North</v>
      </c>
    </row>
    <row r="146" spans="1:15" x14ac:dyDescent="0.3">
      <c r="A146" s="13" t="s">
        <v>299</v>
      </c>
      <c r="B146" s="13" t="s">
        <v>300</v>
      </c>
      <c r="C146" s="13" t="s">
        <v>60</v>
      </c>
      <c r="D146" s="13" t="s">
        <v>61</v>
      </c>
      <c r="E146" s="13" t="s">
        <v>81</v>
      </c>
      <c r="F146" s="6">
        <v>1500000</v>
      </c>
      <c r="G146" s="19">
        <v>0.16</v>
      </c>
      <c r="H146" s="15">
        <v>12</v>
      </c>
      <c r="I146" s="4">
        <v>45527</v>
      </c>
      <c r="J146" s="13" t="s">
        <v>33</v>
      </c>
      <c r="K146" s="12" t="s">
        <v>802</v>
      </c>
      <c r="L146" s="12" t="s">
        <v>813</v>
      </c>
      <c r="M146" s="7">
        <v>75000000</v>
      </c>
      <c r="N146" s="12" t="str">
        <f t="shared" si="2"/>
        <v>NORMAL</v>
      </c>
      <c r="O146" t="str">
        <f>_xlfn.XLOOKUP(C146,[1]branches!$A$2:$A$11,[1]branches!$D$2:$D$11,"No apecified")</f>
        <v>North</v>
      </c>
    </row>
    <row r="147" spans="1:15" x14ac:dyDescent="0.3">
      <c r="A147" s="11" t="s">
        <v>301</v>
      </c>
      <c r="B147" s="11" t="s">
        <v>53</v>
      </c>
      <c r="C147" s="11" t="s">
        <v>36</v>
      </c>
      <c r="D147" s="11" t="s">
        <v>37</v>
      </c>
      <c r="E147" s="11" t="s">
        <v>81</v>
      </c>
      <c r="F147" s="5">
        <v>3000000</v>
      </c>
      <c r="G147" s="18">
        <v>0.24</v>
      </c>
      <c r="H147" s="14">
        <v>6</v>
      </c>
      <c r="I147" s="3">
        <v>45435</v>
      </c>
      <c r="J147" s="11" t="s">
        <v>19</v>
      </c>
      <c r="K147" s="12" t="s">
        <v>797</v>
      </c>
      <c r="L147" s="12" t="s">
        <v>808</v>
      </c>
      <c r="M147" s="7">
        <v>40000000</v>
      </c>
      <c r="N147" s="12" t="str">
        <f t="shared" si="2"/>
        <v>HIGH RISK</v>
      </c>
      <c r="O147" t="str">
        <f>_xlfn.XLOOKUP(C147,[1]branches!$A$2:$A$11,[1]branches!$D$2:$D$11,"No apecified")</f>
        <v>South-South</v>
      </c>
    </row>
    <row r="148" spans="1:15" x14ac:dyDescent="0.3">
      <c r="A148" s="13" t="s">
        <v>302</v>
      </c>
      <c r="B148" s="13" t="s">
        <v>95</v>
      </c>
      <c r="C148" s="13" t="s">
        <v>46</v>
      </c>
      <c r="D148" s="13" t="s">
        <v>96</v>
      </c>
      <c r="E148" s="13" t="s">
        <v>760</v>
      </c>
      <c r="F148" s="6">
        <v>10000000</v>
      </c>
      <c r="G148" s="19">
        <v>0.16</v>
      </c>
      <c r="H148" s="15">
        <v>36</v>
      </c>
      <c r="I148" s="4">
        <v>45299</v>
      </c>
      <c r="J148" s="13" t="s">
        <v>14</v>
      </c>
      <c r="K148" s="12" t="s">
        <v>799</v>
      </c>
      <c r="L148" s="12" t="s">
        <v>817</v>
      </c>
      <c r="M148" s="7">
        <v>40000000</v>
      </c>
      <c r="N148" s="12" t="str">
        <f t="shared" si="2"/>
        <v>NORMAL</v>
      </c>
      <c r="O148" t="str">
        <f>_xlfn.XLOOKUP(C148,[1]branches!$A$2:$A$11,[1]branches!$D$2:$D$11,"No apecified")</f>
        <v>South-West</v>
      </c>
    </row>
    <row r="149" spans="1:15" x14ac:dyDescent="0.3">
      <c r="A149" s="11" t="s">
        <v>303</v>
      </c>
      <c r="B149" s="11" t="s">
        <v>202</v>
      </c>
      <c r="C149" s="11" t="s">
        <v>26</v>
      </c>
      <c r="D149" s="11" t="s">
        <v>66</v>
      </c>
      <c r="E149" s="11" t="s">
        <v>81</v>
      </c>
      <c r="F149" s="5">
        <v>2000000</v>
      </c>
      <c r="G149" s="18">
        <v>0.18</v>
      </c>
      <c r="H149" s="14">
        <v>24</v>
      </c>
      <c r="I149" s="3">
        <v>45597</v>
      </c>
      <c r="J149" s="11" t="s">
        <v>19</v>
      </c>
      <c r="K149" s="12" t="s">
        <v>796</v>
      </c>
      <c r="L149" s="12" t="s">
        <v>814</v>
      </c>
      <c r="M149" s="7">
        <v>60000000</v>
      </c>
      <c r="N149" s="12" t="str">
        <f t="shared" si="2"/>
        <v>AT RISK</v>
      </c>
      <c r="O149" t="str">
        <f>_xlfn.XLOOKUP(C149,[1]branches!$A$2:$A$11,[1]branches!$D$2:$D$11,"No apecified")</f>
        <v>North</v>
      </c>
    </row>
    <row r="150" spans="1:15" x14ac:dyDescent="0.3">
      <c r="A150" s="13" t="s">
        <v>304</v>
      </c>
      <c r="B150" s="13" t="s">
        <v>205</v>
      </c>
      <c r="C150" s="13" t="s">
        <v>60</v>
      </c>
      <c r="D150" s="13" t="s">
        <v>69</v>
      </c>
      <c r="E150" s="13" t="s">
        <v>39</v>
      </c>
      <c r="F150" s="6">
        <v>1000000</v>
      </c>
      <c r="G150" s="19">
        <v>0.16</v>
      </c>
      <c r="H150" s="15">
        <v>24</v>
      </c>
      <c r="I150" s="4">
        <v>45395</v>
      </c>
      <c r="J150" s="13" t="s">
        <v>14</v>
      </c>
      <c r="K150" s="12" t="s">
        <v>802</v>
      </c>
      <c r="L150" s="12" t="s">
        <v>815</v>
      </c>
      <c r="M150" s="7">
        <v>75000000</v>
      </c>
      <c r="N150" s="12" t="str">
        <f t="shared" si="2"/>
        <v>NORMAL</v>
      </c>
      <c r="O150" t="str">
        <f>_xlfn.XLOOKUP(C150,[1]branches!$A$2:$A$11,[1]branches!$D$2:$D$11,"No apecified")</f>
        <v>North</v>
      </c>
    </row>
    <row r="151" spans="1:15" x14ac:dyDescent="0.3">
      <c r="A151" s="11" t="s">
        <v>305</v>
      </c>
      <c r="B151" s="11" t="s">
        <v>200</v>
      </c>
      <c r="C151" s="11" t="s">
        <v>12</v>
      </c>
      <c r="D151" s="11" t="s">
        <v>13</v>
      </c>
      <c r="E151" s="11" t="s">
        <v>39</v>
      </c>
      <c r="F151" s="5">
        <v>7500000</v>
      </c>
      <c r="G151" s="18">
        <v>0.22</v>
      </c>
      <c r="H151" s="14">
        <v>6</v>
      </c>
      <c r="I151" s="3">
        <v>45626</v>
      </c>
      <c r="J151" s="11" t="s">
        <v>33</v>
      </c>
      <c r="K151" s="12" t="s">
        <v>793</v>
      </c>
      <c r="L151" s="12" t="s">
        <v>803</v>
      </c>
      <c r="M151" s="7">
        <v>75000000</v>
      </c>
      <c r="N151" s="12" t="str">
        <f t="shared" si="2"/>
        <v>NORMAL</v>
      </c>
      <c r="O151" t="str">
        <f>_xlfn.XLOOKUP(C151,[1]branches!$A$2:$A$11,[1]branches!$D$2:$D$11,"No apecified")</f>
        <v>North</v>
      </c>
    </row>
    <row r="152" spans="1:15" x14ac:dyDescent="0.3">
      <c r="A152" s="13" t="s">
        <v>306</v>
      </c>
      <c r="B152" s="13" t="s">
        <v>45</v>
      </c>
      <c r="C152" s="13" t="s">
        <v>46</v>
      </c>
      <c r="D152" s="13" t="s">
        <v>47</v>
      </c>
      <c r="E152" s="13" t="s">
        <v>39</v>
      </c>
      <c r="F152" s="6">
        <v>3000000</v>
      </c>
      <c r="G152" s="19">
        <v>0.18</v>
      </c>
      <c r="H152" s="15">
        <v>6</v>
      </c>
      <c r="I152" s="4">
        <v>45429</v>
      </c>
      <c r="J152" s="13" t="s">
        <v>14</v>
      </c>
      <c r="K152" s="12" t="s">
        <v>799</v>
      </c>
      <c r="L152" s="12" t="s">
        <v>810</v>
      </c>
      <c r="M152" s="7">
        <v>30000000</v>
      </c>
      <c r="N152" s="12" t="str">
        <f t="shared" si="2"/>
        <v>NORMAL</v>
      </c>
      <c r="O152" t="str">
        <f>_xlfn.XLOOKUP(C152,[1]branches!$A$2:$A$11,[1]branches!$D$2:$D$11,"No apecified")</f>
        <v>South-West</v>
      </c>
    </row>
    <row r="153" spans="1:15" x14ac:dyDescent="0.3">
      <c r="A153" s="11" t="s">
        <v>307</v>
      </c>
      <c r="B153" s="11" t="s">
        <v>308</v>
      </c>
      <c r="C153" s="11" t="s">
        <v>60</v>
      </c>
      <c r="D153" s="11" t="s">
        <v>69</v>
      </c>
      <c r="E153" s="11" t="s">
        <v>760</v>
      </c>
      <c r="F153" s="5">
        <v>1000000</v>
      </c>
      <c r="G153" s="18">
        <v>0.24</v>
      </c>
      <c r="H153" s="14">
        <v>6</v>
      </c>
      <c r="I153" s="3">
        <v>45365</v>
      </c>
      <c r="J153" s="11" t="s">
        <v>14</v>
      </c>
      <c r="K153" s="12" t="s">
        <v>802</v>
      </c>
      <c r="L153" s="12" t="s">
        <v>815</v>
      </c>
      <c r="M153" s="7">
        <v>75000000</v>
      </c>
      <c r="N153" s="12" t="str">
        <f t="shared" si="2"/>
        <v>NORMAL</v>
      </c>
      <c r="O153" t="str">
        <f>_xlfn.XLOOKUP(C153,[1]branches!$A$2:$A$11,[1]branches!$D$2:$D$11,"No apecified")</f>
        <v>North</v>
      </c>
    </row>
    <row r="154" spans="1:15" x14ac:dyDescent="0.3">
      <c r="A154" s="13" t="s">
        <v>309</v>
      </c>
      <c r="B154" s="13" t="s">
        <v>310</v>
      </c>
      <c r="C154" s="13" t="s">
        <v>26</v>
      </c>
      <c r="D154" s="13" t="s">
        <v>66</v>
      </c>
      <c r="E154" s="13" t="s">
        <v>760</v>
      </c>
      <c r="F154" s="6">
        <v>10000000</v>
      </c>
      <c r="G154" s="19">
        <v>0.2</v>
      </c>
      <c r="H154" s="15">
        <v>36</v>
      </c>
      <c r="I154" s="4">
        <v>45359</v>
      </c>
      <c r="J154" s="13" t="s">
        <v>33</v>
      </c>
      <c r="K154" s="12" t="s">
        <v>796</v>
      </c>
      <c r="L154" s="12" t="s">
        <v>814</v>
      </c>
      <c r="M154" s="7">
        <v>60000000</v>
      </c>
      <c r="N154" s="12" t="str">
        <f t="shared" si="2"/>
        <v>NORMAL</v>
      </c>
      <c r="O154" t="str">
        <f>_xlfn.XLOOKUP(C154,[1]branches!$A$2:$A$11,[1]branches!$D$2:$D$11,"No apecified")</f>
        <v>North</v>
      </c>
    </row>
    <row r="155" spans="1:15" x14ac:dyDescent="0.3">
      <c r="A155" s="11" t="s">
        <v>311</v>
      </c>
      <c r="B155" s="11" t="s">
        <v>312</v>
      </c>
      <c r="C155" s="11" t="s">
        <v>46</v>
      </c>
      <c r="D155" s="11" t="s">
        <v>96</v>
      </c>
      <c r="E155" s="11" t="s">
        <v>39</v>
      </c>
      <c r="F155" s="5">
        <v>500000</v>
      </c>
      <c r="G155" s="18">
        <v>0.22</v>
      </c>
      <c r="H155" s="14">
        <v>6</v>
      </c>
      <c r="I155" s="3">
        <v>45392</v>
      </c>
      <c r="J155" s="11" t="s">
        <v>14</v>
      </c>
      <c r="K155" s="12" t="s">
        <v>799</v>
      </c>
      <c r="L155" s="12" t="s">
        <v>817</v>
      </c>
      <c r="M155" s="7">
        <v>40000000</v>
      </c>
      <c r="N155" s="12" t="str">
        <f t="shared" si="2"/>
        <v>NORMAL</v>
      </c>
      <c r="O155" t="str">
        <f>_xlfn.XLOOKUP(C155,[1]branches!$A$2:$A$11,[1]branches!$D$2:$D$11,"No apecified")</f>
        <v>South-West</v>
      </c>
    </row>
    <row r="156" spans="1:15" x14ac:dyDescent="0.3">
      <c r="A156" s="13" t="s">
        <v>313</v>
      </c>
      <c r="B156" s="13" t="s">
        <v>314</v>
      </c>
      <c r="C156" s="13" t="s">
        <v>22</v>
      </c>
      <c r="D156" s="13" t="s">
        <v>23</v>
      </c>
      <c r="E156" s="13" t="s">
        <v>81</v>
      </c>
      <c r="F156" s="6">
        <v>1500000</v>
      </c>
      <c r="G156" s="19">
        <v>0.24</v>
      </c>
      <c r="H156" s="15">
        <v>6</v>
      </c>
      <c r="I156" s="4">
        <v>45347</v>
      </c>
      <c r="J156" s="13" t="s">
        <v>19</v>
      </c>
      <c r="K156" s="12" t="s">
        <v>795</v>
      </c>
      <c r="L156" s="12" t="s">
        <v>805</v>
      </c>
      <c r="M156" s="7">
        <v>30000000</v>
      </c>
      <c r="N156" s="12" t="str">
        <f t="shared" si="2"/>
        <v>AT RISK</v>
      </c>
      <c r="O156" t="str">
        <f>_xlfn.XLOOKUP(C156,[1]branches!$A$2:$A$11,[1]branches!$D$2:$D$11,"No apecified")</f>
        <v>North</v>
      </c>
    </row>
    <row r="157" spans="1:15" x14ac:dyDescent="0.3">
      <c r="A157" s="11" t="s">
        <v>315</v>
      </c>
      <c r="B157" s="11" t="s">
        <v>316</v>
      </c>
      <c r="C157" s="11" t="s">
        <v>60</v>
      </c>
      <c r="D157" s="11" t="s">
        <v>69</v>
      </c>
      <c r="E157" s="11" t="s">
        <v>81</v>
      </c>
      <c r="F157" s="5">
        <v>1000000</v>
      </c>
      <c r="G157" s="18">
        <v>0.18</v>
      </c>
      <c r="H157" s="14">
        <v>12</v>
      </c>
      <c r="I157" s="3">
        <v>45345</v>
      </c>
      <c r="J157" s="11" t="s">
        <v>14</v>
      </c>
      <c r="K157" s="12" t="s">
        <v>802</v>
      </c>
      <c r="L157" s="12" t="s">
        <v>815</v>
      </c>
      <c r="M157" s="7">
        <v>75000000</v>
      </c>
      <c r="N157" s="12" t="str">
        <f t="shared" si="2"/>
        <v>NORMAL</v>
      </c>
      <c r="O157" t="str">
        <f>_xlfn.XLOOKUP(C157,[1]branches!$A$2:$A$11,[1]branches!$D$2:$D$11,"No apecified")</f>
        <v>North</v>
      </c>
    </row>
    <row r="158" spans="1:15" x14ac:dyDescent="0.3">
      <c r="A158" s="13" t="s">
        <v>317</v>
      </c>
      <c r="B158" s="13" t="s">
        <v>318</v>
      </c>
      <c r="C158" s="13" t="s">
        <v>60</v>
      </c>
      <c r="D158" s="13" t="s">
        <v>61</v>
      </c>
      <c r="E158" s="13" t="s">
        <v>760</v>
      </c>
      <c r="F158" s="6">
        <v>10000000</v>
      </c>
      <c r="G158" s="19">
        <v>0.24</v>
      </c>
      <c r="H158" s="15">
        <v>6</v>
      </c>
      <c r="I158" s="4">
        <v>45528</v>
      </c>
      <c r="J158" s="13" t="s">
        <v>33</v>
      </c>
      <c r="K158" s="12" t="s">
        <v>802</v>
      </c>
      <c r="L158" s="12" t="s">
        <v>813</v>
      </c>
      <c r="M158" s="7">
        <v>75000000</v>
      </c>
      <c r="N158" s="12" t="str">
        <f t="shared" si="2"/>
        <v>NORMAL</v>
      </c>
      <c r="O158" t="str">
        <f>_xlfn.XLOOKUP(C158,[1]branches!$A$2:$A$11,[1]branches!$D$2:$D$11,"No apecified")</f>
        <v>North</v>
      </c>
    </row>
    <row r="159" spans="1:15" x14ac:dyDescent="0.3">
      <c r="A159" s="11" t="s">
        <v>319</v>
      </c>
      <c r="B159" s="11" t="s">
        <v>320</v>
      </c>
      <c r="C159" s="11" t="s">
        <v>26</v>
      </c>
      <c r="D159" s="11" t="s">
        <v>27</v>
      </c>
      <c r="E159" s="11" t="s">
        <v>760</v>
      </c>
      <c r="F159" s="5">
        <v>5000000</v>
      </c>
      <c r="G159" s="18">
        <v>0.18</v>
      </c>
      <c r="H159" s="14">
        <v>24</v>
      </c>
      <c r="I159" s="3">
        <v>45353</v>
      </c>
      <c r="J159" s="11" t="s">
        <v>14</v>
      </c>
      <c r="K159" s="12" t="s">
        <v>796</v>
      </c>
      <c r="L159" s="12" t="s">
        <v>806</v>
      </c>
      <c r="M159" s="7">
        <v>50000000</v>
      </c>
      <c r="N159" s="12" t="str">
        <f t="shared" si="2"/>
        <v>NORMAL</v>
      </c>
      <c r="O159" t="str">
        <f>_xlfn.XLOOKUP(C159,[1]branches!$A$2:$A$11,[1]branches!$D$2:$D$11,"No apecified")</f>
        <v>North</v>
      </c>
    </row>
    <row r="160" spans="1:15" x14ac:dyDescent="0.3">
      <c r="A160" s="13" t="s">
        <v>321</v>
      </c>
      <c r="B160" s="13" t="s">
        <v>322</v>
      </c>
      <c r="C160" s="13" t="s">
        <v>46</v>
      </c>
      <c r="D160" s="13" t="s">
        <v>96</v>
      </c>
      <c r="E160" s="13" t="s">
        <v>760</v>
      </c>
      <c r="F160" s="6">
        <v>750000</v>
      </c>
      <c r="G160" s="19">
        <v>0.18</v>
      </c>
      <c r="H160" s="15">
        <v>6</v>
      </c>
      <c r="I160" s="4">
        <v>45455</v>
      </c>
      <c r="J160" s="13" t="s">
        <v>33</v>
      </c>
      <c r="K160" s="12" t="s">
        <v>799</v>
      </c>
      <c r="L160" s="12" t="s">
        <v>817</v>
      </c>
      <c r="M160" s="7">
        <v>40000000</v>
      </c>
      <c r="N160" s="12" t="str">
        <f t="shared" si="2"/>
        <v>NORMAL</v>
      </c>
      <c r="O160" t="str">
        <f>_xlfn.XLOOKUP(C160,[1]branches!$A$2:$A$11,[1]branches!$D$2:$D$11,"No apecified")</f>
        <v>South-West</v>
      </c>
    </row>
    <row r="161" spans="1:15" x14ac:dyDescent="0.3">
      <c r="A161" s="11" t="s">
        <v>323</v>
      </c>
      <c r="B161" s="11" t="s">
        <v>324</v>
      </c>
      <c r="C161" s="11" t="s">
        <v>36</v>
      </c>
      <c r="D161" s="11" t="s">
        <v>37</v>
      </c>
      <c r="E161" s="11" t="s">
        <v>81</v>
      </c>
      <c r="F161" s="5">
        <v>10000000</v>
      </c>
      <c r="G161" s="18">
        <v>0.24</v>
      </c>
      <c r="H161" s="14">
        <v>24</v>
      </c>
      <c r="I161" s="3">
        <v>45361</v>
      </c>
      <c r="J161" s="11" t="s">
        <v>14</v>
      </c>
      <c r="K161" s="12" t="s">
        <v>797</v>
      </c>
      <c r="L161" s="12" t="s">
        <v>808</v>
      </c>
      <c r="M161" s="7">
        <v>40000000</v>
      </c>
      <c r="N161" s="12" t="str">
        <f t="shared" si="2"/>
        <v>NORMAL</v>
      </c>
      <c r="O161" t="str">
        <f>_xlfn.XLOOKUP(C161,[1]branches!$A$2:$A$11,[1]branches!$D$2:$D$11,"No apecified")</f>
        <v>South-South</v>
      </c>
    </row>
    <row r="162" spans="1:15" x14ac:dyDescent="0.3">
      <c r="A162" s="13" t="s">
        <v>325</v>
      </c>
      <c r="B162" s="13" t="s">
        <v>326</v>
      </c>
      <c r="C162" s="13" t="s">
        <v>42</v>
      </c>
      <c r="D162" s="13" t="s">
        <v>43</v>
      </c>
      <c r="E162" s="13" t="s">
        <v>81</v>
      </c>
      <c r="F162" s="6">
        <v>7500000</v>
      </c>
      <c r="G162" s="19">
        <v>0.22</v>
      </c>
      <c r="H162" s="15">
        <v>6</v>
      </c>
      <c r="I162" s="4">
        <v>45471</v>
      </c>
      <c r="J162" s="13" t="s">
        <v>14</v>
      </c>
      <c r="K162" s="12" t="s">
        <v>798</v>
      </c>
      <c r="L162" s="12" t="s">
        <v>809</v>
      </c>
      <c r="M162" s="7">
        <v>40000000</v>
      </c>
      <c r="N162" s="12" t="str">
        <f t="shared" si="2"/>
        <v>NORMAL</v>
      </c>
      <c r="O162" t="str">
        <f>_xlfn.XLOOKUP(C162,[1]branches!$A$2:$A$11,[1]branches!$D$2:$D$11,"No apecified")</f>
        <v>North</v>
      </c>
    </row>
    <row r="163" spans="1:15" x14ac:dyDescent="0.3">
      <c r="A163" s="11" t="s">
        <v>327</v>
      </c>
      <c r="B163" s="11" t="s">
        <v>316</v>
      </c>
      <c r="C163" s="11" t="s">
        <v>60</v>
      </c>
      <c r="D163" s="11" t="s">
        <v>69</v>
      </c>
      <c r="E163" s="11" t="s">
        <v>760</v>
      </c>
      <c r="F163" s="5">
        <v>1500000</v>
      </c>
      <c r="G163" s="18">
        <v>0.18</v>
      </c>
      <c r="H163" s="14">
        <v>12</v>
      </c>
      <c r="I163" s="3">
        <v>45346</v>
      </c>
      <c r="J163" s="11" t="s">
        <v>19</v>
      </c>
      <c r="K163" s="12" t="s">
        <v>802</v>
      </c>
      <c r="L163" s="12" t="s">
        <v>815</v>
      </c>
      <c r="M163" s="7">
        <v>75000000</v>
      </c>
      <c r="N163" s="12" t="str">
        <f t="shared" si="2"/>
        <v>AT RISK</v>
      </c>
      <c r="O163" t="str">
        <f>_xlfn.XLOOKUP(C163,[1]branches!$A$2:$A$11,[1]branches!$D$2:$D$11,"No apecified")</f>
        <v>North</v>
      </c>
    </row>
    <row r="164" spans="1:15" x14ac:dyDescent="0.3">
      <c r="A164" s="13" t="s">
        <v>328</v>
      </c>
      <c r="B164" s="13" t="s">
        <v>55</v>
      </c>
      <c r="C164" s="13" t="s">
        <v>56</v>
      </c>
      <c r="D164" s="13" t="s">
        <v>57</v>
      </c>
      <c r="E164" s="13" t="s">
        <v>39</v>
      </c>
      <c r="F164" s="6">
        <v>5000000</v>
      </c>
      <c r="G164" s="19">
        <v>0.16</v>
      </c>
      <c r="H164" s="15">
        <v>36</v>
      </c>
      <c r="I164" s="4">
        <v>45546</v>
      </c>
      <c r="J164" s="13" t="s">
        <v>14</v>
      </c>
      <c r="K164" s="12" t="s">
        <v>801</v>
      </c>
      <c r="L164" s="12" t="s">
        <v>812</v>
      </c>
      <c r="M164" s="7">
        <v>50000000</v>
      </c>
      <c r="N164" s="12" t="str">
        <f t="shared" si="2"/>
        <v>NORMAL</v>
      </c>
      <c r="O164" t="str">
        <f>_xlfn.XLOOKUP(C164,[1]branches!$A$2:$A$11,[1]branches!$D$2:$D$11,"No apecified")</f>
        <v>South-West</v>
      </c>
    </row>
    <row r="165" spans="1:15" x14ac:dyDescent="0.3">
      <c r="A165" s="11" t="s">
        <v>329</v>
      </c>
      <c r="B165" s="11" t="s">
        <v>239</v>
      </c>
      <c r="C165" s="11" t="s">
        <v>17</v>
      </c>
      <c r="D165" s="11" t="s">
        <v>148</v>
      </c>
      <c r="E165" s="11" t="s">
        <v>760</v>
      </c>
      <c r="F165" s="5">
        <v>7500000</v>
      </c>
      <c r="G165" s="18">
        <v>0.24</v>
      </c>
      <c r="H165" s="14">
        <v>18</v>
      </c>
      <c r="I165" s="3">
        <v>45317</v>
      </c>
      <c r="J165" s="11" t="s">
        <v>14</v>
      </c>
      <c r="K165" s="12" t="s">
        <v>794</v>
      </c>
      <c r="L165" s="12" t="s">
        <v>821</v>
      </c>
      <c r="M165" s="7">
        <v>40000000</v>
      </c>
      <c r="N165" s="12" t="str">
        <f t="shared" si="2"/>
        <v>NORMAL</v>
      </c>
      <c r="O165" t="str">
        <f>_xlfn.XLOOKUP(C165,[1]branches!$A$2:$A$11,[1]branches!$D$2:$D$11,"No apecified")</f>
        <v>South-South</v>
      </c>
    </row>
    <row r="166" spans="1:15" x14ac:dyDescent="0.3">
      <c r="A166" s="13" t="s">
        <v>330</v>
      </c>
      <c r="B166" s="13" t="s">
        <v>35</v>
      </c>
      <c r="C166" s="13" t="s">
        <v>36</v>
      </c>
      <c r="D166" s="13" t="s">
        <v>37</v>
      </c>
      <c r="E166" s="13" t="s">
        <v>39</v>
      </c>
      <c r="F166" s="6">
        <v>1000000</v>
      </c>
      <c r="G166" s="19">
        <v>0.22</v>
      </c>
      <c r="H166" s="15">
        <v>6</v>
      </c>
      <c r="I166" s="4">
        <v>45619</v>
      </c>
      <c r="J166" s="13" t="s">
        <v>19</v>
      </c>
      <c r="K166" s="12" t="s">
        <v>797</v>
      </c>
      <c r="L166" s="12" t="s">
        <v>808</v>
      </c>
      <c r="M166" s="7">
        <v>40000000</v>
      </c>
      <c r="N166" s="12" t="str">
        <f t="shared" si="2"/>
        <v>AT RISK</v>
      </c>
      <c r="O166" t="str">
        <f>_xlfn.XLOOKUP(C166,[1]branches!$A$2:$A$11,[1]branches!$D$2:$D$11,"No apecified")</f>
        <v>South-South</v>
      </c>
    </row>
    <row r="167" spans="1:15" x14ac:dyDescent="0.3">
      <c r="A167" s="11" t="s">
        <v>331</v>
      </c>
      <c r="B167" s="11" t="s">
        <v>332</v>
      </c>
      <c r="C167" s="11" t="s">
        <v>42</v>
      </c>
      <c r="D167" s="11" t="s">
        <v>43</v>
      </c>
      <c r="E167" s="11" t="s">
        <v>81</v>
      </c>
      <c r="F167" s="5">
        <v>750000</v>
      </c>
      <c r="G167" s="18">
        <v>0.24</v>
      </c>
      <c r="H167" s="14">
        <v>24</v>
      </c>
      <c r="I167" s="3">
        <v>45574</v>
      </c>
      <c r="J167" s="11" t="s">
        <v>33</v>
      </c>
      <c r="K167" s="12" t="s">
        <v>798</v>
      </c>
      <c r="L167" s="12" t="s">
        <v>809</v>
      </c>
      <c r="M167" s="7">
        <v>40000000</v>
      </c>
      <c r="N167" s="12" t="str">
        <f t="shared" si="2"/>
        <v>NORMAL</v>
      </c>
      <c r="O167" t="str">
        <f>_xlfn.XLOOKUP(C167,[1]branches!$A$2:$A$11,[1]branches!$D$2:$D$11,"No apecified")</f>
        <v>North</v>
      </c>
    </row>
    <row r="168" spans="1:15" x14ac:dyDescent="0.3">
      <c r="A168" s="13" t="s">
        <v>333</v>
      </c>
      <c r="B168" s="13" t="s">
        <v>334</v>
      </c>
      <c r="C168" s="13" t="s">
        <v>60</v>
      </c>
      <c r="D168" s="13" t="s">
        <v>69</v>
      </c>
      <c r="E168" s="13" t="s">
        <v>760</v>
      </c>
      <c r="F168" s="6">
        <v>1000000</v>
      </c>
      <c r="G168" s="19">
        <v>0.24</v>
      </c>
      <c r="H168" s="15">
        <v>6</v>
      </c>
      <c r="I168" s="4">
        <v>45485</v>
      </c>
      <c r="J168" s="13" t="s">
        <v>33</v>
      </c>
      <c r="K168" s="12" t="s">
        <v>802</v>
      </c>
      <c r="L168" s="12" t="s">
        <v>815</v>
      </c>
      <c r="M168" s="7">
        <v>75000000</v>
      </c>
      <c r="N168" s="12" t="str">
        <f t="shared" si="2"/>
        <v>NORMAL</v>
      </c>
      <c r="O168" t="str">
        <f>_xlfn.XLOOKUP(C168,[1]branches!$A$2:$A$11,[1]branches!$D$2:$D$11,"No apecified")</f>
        <v>North</v>
      </c>
    </row>
    <row r="169" spans="1:15" x14ac:dyDescent="0.3">
      <c r="A169" s="11" t="s">
        <v>335</v>
      </c>
      <c r="B169" s="11" t="s">
        <v>336</v>
      </c>
      <c r="C169" s="11" t="s">
        <v>56</v>
      </c>
      <c r="D169" s="11" t="s">
        <v>57</v>
      </c>
      <c r="E169" s="11" t="s">
        <v>760</v>
      </c>
      <c r="F169" s="5">
        <v>2000000</v>
      </c>
      <c r="G169" s="18">
        <v>0.18</v>
      </c>
      <c r="H169" s="14">
        <v>6</v>
      </c>
      <c r="I169" s="3">
        <v>45359</v>
      </c>
      <c r="J169" s="11" t="s">
        <v>14</v>
      </c>
      <c r="K169" s="12" t="s">
        <v>801</v>
      </c>
      <c r="L169" s="12" t="s">
        <v>812</v>
      </c>
      <c r="M169" s="7">
        <v>50000000</v>
      </c>
      <c r="N169" s="12" t="str">
        <f t="shared" si="2"/>
        <v>NORMAL</v>
      </c>
      <c r="O169" t="str">
        <f>_xlfn.XLOOKUP(C169,[1]branches!$A$2:$A$11,[1]branches!$D$2:$D$11,"No apecified")</f>
        <v>South-West</v>
      </c>
    </row>
    <row r="170" spans="1:15" x14ac:dyDescent="0.3">
      <c r="A170" s="13" t="s">
        <v>337</v>
      </c>
      <c r="B170" s="13" t="s">
        <v>338</v>
      </c>
      <c r="C170" s="13" t="s">
        <v>50</v>
      </c>
      <c r="D170" s="13" t="s">
        <v>51</v>
      </c>
      <c r="E170" s="13" t="s">
        <v>760</v>
      </c>
      <c r="F170" s="6">
        <v>3000000</v>
      </c>
      <c r="G170" s="19">
        <v>0.24</v>
      </c>
      <c r="H170" s="15">
        <v>12</v>
      </c>
      <c r="I170" s="4">
        <v>45580</v>
      </c>
      <c r="J170" s="13" t="s">
        <v>14</v>
      </c>
      <c r="K170" s="12" t="s">
        <v>800</v>
      </c>
      <c r="L170" s="12" t="s">
        <v>811</v>
      </c>
      <c r="M170" s="7">
        <v>75000000</v>
      </c>
      <c r="N170" s="12" t="str">
        <f t="shared" si="2"/>
        <v>NORMAL</v>
      </c>
      <c r="O170" t="str">
        <f>_xlfn.XLOOKUP(C170,[1]branches!$A$2:$A$11,[1]branches!$D$2:$D$11,"No apecified")</f>
        <v>South-West</v>
      </c>
    </row>
    <row r="171" spans="1:15" x14ac:dyDescent="0.3">
      <c r="A171" s="11" t="s">
        <v>339</v>
      </c>
      <c r="B171" s="11" t="s">
        <v>106</v>
      </c>
      <c r="C171" s="11" t="s">
        <v>22</v>
      </c>
      <c r="D171" s="11" t="s">
        <v>23</v>
      </c>
      <c r="E171" s="11" t="s">
        <v>81</v>
      </c>
      <c r="F171" s="5">
        <v>2000000</v>
      </c>
      <c r="G171" s="18">
        <v>0.2</v>
      </c>
      <c r="H171" s="14">
        <v>6</v>
      </c>
      <c r="I171" s="3">
        <v>45341</v>
      </c>
      <c r="J171" s="11" t="s">
        <v>19</v>
      </c>
      <c r="K171" s="12" t="s">
        <v>795</v>
      </c>
      <c r="L171" s="12" t="s">
        <v>805</v>
      </c>
      <c r="M171" s="7">
        <v>30000000</v>
      </c>
      <c r="N171" s="12" t="str">
        <f t="shared" si="2"/>
        <v>AT RISK</v>
      </c>
      <c r="O171" t="str">
        <f>_xlfn.XLOOKUP(C171,[1]branches!$A$2:$A$11,[1]branches!$D$2:$D$11,"No apecified")</f>
        <v>North</v>
      </c>
    </row>
    <row r="172" spans="1:15" x14ac:dyDescent="0.3">
      <c r="A172" s="13" t="s">
        <v>340</v>
      </c>
      <c r="B172" s="13" t="s">
        <v>153</v>
      </c>
      <c r="C172" s="13" t="s">
        <v>56</v>
      </c>
      <c r="D172" s="13" t="s">
        <v>57</v>
      </c>
      <c r="E172" s="13" t="s">
        <v>81</v>
      </c>
      <c r="F172" s="6">
        <v>1000000</v>
      </c>
      <c r="G172" s="19">
        <v>0.24</v>
      </c>
      <c r="H172" s="15">
        <v>12</v>
      </c>
      <c r="I172" s="4">
        <v>45343</v>
      </c>
      <c r="J172" s="13" t="s">
        <v>14</v>
      </c>
      <c r="K172" s="12" t="s">
        <v>801</v>
      </c>
      <c r="L172" s="12" t="s">
        <v>812</v>
      </c>
      <c r="M172" s="7">
        <v>50000000</v>
      </c>
      <c r="N172" s="12" t="str">
        <f t="shared" si="2"/>
        <v>NORMAL</v>
      </c>
      <c r="O172" t="str">
        <f>_xlfn.XLOOKUP(C172,[1]branches!$A$2:$A$11,[1]branches!$D$2:$D$11,"No apecified")</f>
        <v>South-West</v>
      </c>
    </row>
    <row r="173" spans="1:15" x14ac:dyDescent="0.3">
      <c r="A173" s="11" t="s">
        <v>341</v>
      </c>
      <c r="B173" s="11" t="s">
        <v>342</v>
      </c>
      <c r="C173" s="11" t="s">
        <v>36</v>
      </c>
      <c r="D173" s="11" t="s">
        <v>121</v>
      </c>
      <c r="E173" s="11" t="s">
        <v>39</v>
      </c>
      <c r="F173" s="5">
        <v>7500000</v>
      </c>
      <c r="G173" s="18">
        <v>0.18</v>
      </c>
      <c r="H173" s="14">
        <v>6</v>
      </c>
      <c r="I173" s="3">
        <v>45543</v>
      </c>
      <c r="J173" s="11" t="s">
        <v>33</v>
      </c>
      <c r="K173" s="12" t="s">
        <v>797</v>
      </c>
      <c r="L173" s="12" t="s">
        <v>818</v>
      </c>
      <c r="M173" s="7">
        <v>30000000</v>
      </c>
      <c r="N173" s="12" t="str">
        <f t="shared" si="2"/>
        <v>NORMAL</v>
      </c>
      <c r="O173" t="str">
        <f>_xlfn.XLOOKUP(C173,[1]branches!$A$2:$A$11,[1]branches!$D$2:$D$11,"No apecified")</f>
        <v>South-South</v>
      </c>
    </row>
    <row r="174" spans="1:15" x14ac:dyDescent="0.3">
      <c r="A174" s="13" t="s">
        <v>343</v>
      </c>
      <c r="B174" s="13" t="s">
        <v>344</v>
      </c>
      <c r="C174" s="13" t="s">
        <v>22</v>
      </c>
      <c r="D174" s="13" t="s">
        <v>30</v>
      </c>
      <c r="E174" s="13" t="s">
        <v>39</v>
      </c>
      <c r="F174" s="6">
        <v>750000</v>
      </c>
      <c r="G174" s="19">
        <v>0.2</v>
      </c>
      <c r="H174" s="15">
        <v>24</v>
      </c>
      <c r="I174" s="4">
        <v>45518</v>
      </c>
      <c r="J174" s="13" t="s">
        <v>33</v>
      </c>
      <c r="K174" s="12" t="s">
        <v>795</v>
      </c>
      <c r="L174" s="12" t="s">
        <v>807</v>
      </c>
      <c r="M174" s="7">
        <v>30000000</v>
      </c>
      <c r="N174" s="12" t="str">
        <f t="shared" si="2"/>
        <v>NORMAL</v>
      </c>
      <c r="O174" t="str">
        <f>_xlfn.XLOOKUP(C174,[1]branches!$A$2:$A$11,[1]branches!$D$2:$D$11,"No apecified")</f>
        <v>North</v>
      </c>
    </row>
    <row r="175" spans="1:15" x14ac:dyDescent="0.3">
      <c r="A175" s="11" t="s">
        <v>345</v>
      </c>
      <c r="B175" s="11" t="s">
        <v>346</v>
      </c>
      <c r="C175" s="11" t="s">
        <v>22</v>
      </c>
      <c r="D175" s="11" t="s">
        <v>23</v>
      </c>
      <c r="E175" s="11" t="s">
        <v>760</v>
      </c>
      <c r="F175" s="5">
        <v>5000000</v>
      </c>
      <c r="G175" s="18">
        <v>0.16</v>
      </c>
      <c r="H175" s="14">
        <v>18</v>
      </c>
      <c r="I175" s="3">
        <v>45621</v>
      </c>
      <c r="J175" s="11" t="s">
        <v>14</v>
      </c>
      <c r="K175" s="12" t="s">
        <v>795</v>
      </c>
      <c r="L175" s="12" t="s">
        <v>805</v>
      </c>
      <c r="M175" s="7">
        <v>30000000</v>
      </c>
      <c r="N175" s="12" t="str">
        <f t="shared" si="2"/>
        <v>NORMAL</v>
      </c>
      <c r="O175" t="str">
        <f>_xlfn.XLOOKUP(C175,[1]branches!$A$2:$A$11,[1]branches!$D$2:$D$11,"No apecified")</f>
        <v>North</v>
      </c>
    </row>
    <row r="176" spans="1:15" x14ac:dyDescent="0.3">
      <c r="A176" s="13" t="s">
        <v>347</v>
      </c>
      <c r="B176" s="13" t="s">
        <v>348</v>
      </c>
      <c r="C176" s="13" t="s">
        <v>42</v>
      </c>
      <c r="D176" s="13" t="s">
        <v>43</v>
      </c>
      <c r="E176" s="13" t="s">
        <v>760</v>
      </c>
      <c r="F176" s="6">
        <v>500000</v>
      </c>
      <c r="G176" s="19">
        <v>0.2</v>
      </c>
      <c r="H176" s="15">
        <v>18</v>
      </c>
      <c r="I176" s="4">
        <v>45326</v>
      </c>
      <c r="J176" s="13" t="s">
        <v>14</v>
      </c>
      <c r="K176" s="12" t="s">
        <v>798</v>
      </c>
      <c r="L176" s="12" t="s">
        <v>809</v>
      </c>
      <c r="M176" s="7">
        <v>40000000</v>
      </c>
      <c r="N176" s="12" t="str">
        <f t="shared" si="2"/>
        <v>NORMAL</v>
      </c>
      <c r="O176" t="str">
        <f>_xlfn.XLOOKUP(C176,[1]branches!$A$2:$A$11,[1]branches!$D$2:$D$11,"No apecified")</f>
        <v>North</v>
      </c>
    </row>
    <row r="177" spans="1:15" x14ac:dyDescent="0.3">
      <c r="A177" s="11" t="s">
        <v>349</v>
      </c>
      <c r="B177" s="11" t="s">
        <v>279</v>
      </c>
      <c r="C177" s="11" t="s">
        <v>60</v>
      </c>
      <c r="D177" s="11" t="s">
        <v>61</v>
      </c>
      <c r="E177" s="11" t="s">
        <v>760</v>
      </c>
      <c r="F177" s="5">
        <v>1500000</v>
      </c>
      <c r="G177" s="18">
        <v>0.16</v>
      </c>
      <c r="H177" s="14">
        <v>12</v>
      </c>
      <c r="I177" s="3">
        <v>45628</v>
      </c>
      <c r="J177" s="11" t="s">
        <v>14</v>
      </c>
      <c r="K177" s="12" t="s">
        <v>802</v>
      </c>
      <c r="L177" s="12" t="s">
        <v>813</v>
      </c>
      <c r="M177" s="7">
        <v>75000000</v>
      </c>
      <c r="N177" s="12" t="str">
        <f t="shared" si="2"/>
        <v>NORMAL</v>
      </c>
      <c r="O177" t="str">
        <f>_xlfn.XLOOKUP(C177,[1]branches!$A$2:$A$11,[1]branches!$D$2:$D$11,"No apecified")</f>
        <v>North</v>
      </c>
    </row>
    <row r="178" spans="1:15" x14ac:dyDescent="0.3">
      <c r="A178" s="13" t="s">
        <v>350</v>
      </c>
      <c r="B178" s="13" t="s">
        <v>351</v>
      </c>
      <c r="C178" s="13" t="s">
        <v>36</v>
      </c>
      <c r="D178" s="13" t="s">
        <v>37</v>
      </c>
      <c r="E178" s="13" t="s">
        <v>39</v>
      </c>
      <c r="F178" s="6">
        <v>10000000</v>
      </c>
      <c r="G178" s="19">
        <v>0.18</v>
      </c>
      <c r="H178" s="15">
        <v>36</v>
      </c>
      <c r="I178" s="4">
        <v>45455</v>
      </c>
      <c r="J178" s="13" t="s">
        <v>14</v>
      </c>
      <c r="K178" s="12" t="s">
        <v>797</v>
      </c>
      <c r="L178" s="12" t="s">
        <v>808</v>
      </c>
      <c r="M178" s="7">
        <v>40000000</v>
      </c>
      <c r="N178" s="12" t="str">
        <f t="shared" si="2"/>
        <v>NORMAL</v>
      </c>
      <c r="O178" t="str">
        <f>_xlfn.XLOOKUP(C178,[1]branches!$A$2:$A$11,[1]branches!$D$2:$D$11,"No apecified")</f>
        <v>South-South</v>
      </c>
    </row>
    <row r="179" spans="1:15" x14ac:dyDescent="0.3">
      <c r="A179" s="11" t="s">
        <v>352</v>
      </c>
      <c r="B179" s="11" t="s">
        <v>353</v>
      </c>
      <c r="C179" s="11" t="s">
        <v>12</v>
      </c>
      <c r="D179" s="11" t="s">
        <v>13</v>
      </c>
      <c r="E179" s="11" t="s">
        <v>39</v>
      </c>
      <c r="F179" s="5">
        <v>3000000</v>
      </c>
      <c r="G179" s="18">
        <v>0.16</v>
      </c>
      <c r="H179" s="14">
        <v>24</v>
      </c>
      <c r="I179" s="3">
        <v>45363</v>
      </c>
      <c r="J179" s="11" t="s">
        <v>14</v>
      </c>
      <c r="K179" s="12" t="s">
        <v>793</v>
      </c>
      <c r="L179" s="12" t="s">
        <v>803</v>
      </c>
      <c r="M179" s="7">
        <v>75000000</v>
      </c>
      <c r="N179" s="12" t="str">
        <f t="shared" si="2"/>
        <v>NORMAL</v>
      </c>
      <c r="O179" t="str">
        <f>_xlfn.XLOOKUP(C179,[1]branches!$A$2:$A$11,[1]branches!$D$2:$D$11,"No apecified")</f>
        <v>North</v>
      </c>
    </row>
    <row r="180" spans="1:15" x14ac:dyDescent="0.3">
      <c r="A180" s="11" t="s">
        <v>354</v>
      </c>
      <c r="B180" s="11" t="s">
        <v>355</v>
      </c>
      <c r="C180" s="11" t="s">
        <v>42</v>
      </c>
      <c r="D180" s="11" t="s">
        <v>282</v>
      </c>
      <c r="E180" s="11" t="s">
        <v>81</v>
      </c>
      <c r="F180" s="5">
        <v>7500000</v>
      </c>
      <c r="G180" s="18">
        <v>0.16</v>
      </c>
      <c r="H180" s="14">
        <v>6</v>
      </c>
      <c r="I180" s="3">
        <v>45489</v>
      </c>
      <c r="J180" s="11" t="s">
        <v>33</v>
      </c>
      <c r="K180" s="12" t="s">
        <v>798</v>
      </c>
      <c r="L180" s="12" t="s">
        <v>822</v>
      </c>
      <c r="M180" s="7">
        <v>50000000</v>
      </c>
      <c r="N180" s="12" t="str">
        <f t="shared" si="2"/>
        <v>NORMAL</v>
      </c>
      <c r="O180" t="str">
        <f>_xlfn.XLOOKUP(C180,[1]branches!$A$2:$A$11,[1]branches!$D$2:$D$11,"No apecified")</f>
        <v>North</v>
      </c>
    </row>
    <row r="181" spans="1:15" x14ac:dyDescent="0.3">
      <c r="A181" s="13" t="s">
        <v>356</v>
      </c>
      <c r="B181" s="13" t="s">
        <v>344</v>
      </c>
      <c r="C181" s="13" t="s">
        <v>22</v>
      </c>
      <c r="D181" s="13" t="s">
        <v>30</v>
      </c>
      <c r="E181" s="13" t="s">
        <v>760</v>
      </c>
      <c r="F181" s="6">
        <v>7500000</v>
      </c>
      <c r="G181" s="19">
        <v>0.2</v>
      </c>
      <c r="H181" s="15">
        <v>24</v>
      </c>
      <c r="I181" s="4">
        <v>45586</v>
      </c>
      <c r="J181" s="13" t="s">
        <v>14</v>
      </c>
      <c r="K181" s="12" t="s">
        <v>795</v>
      </c>
      <c r="L181" s="12" t="s">
        <v>807</v>
      </c>
      <c r="M181" s="7">
        <v>30000000</v>
      </c>
      <c r="N181" s="12" t="str">
        <f t="shared" si="2"/>
        <v>NORMAL</v>
      </c>
      <c r="O181" t="str">
        <f>_xlfn.XLOOKUP(C181,[1]branches!$A$2:$A$11,[1]branches!$D$2:$D$11,"No apecified")</f>
        <v>North</v>
      </c>
    </row>
    <row r="182" spans="1:15" x14ac:dyDescent="0.3">
      <c r="A182" s="11" t="s">
        <v>357</v>
      </c>
      <c r="B182" s="11" t="s">
        <v>358</v>
      </c>
      <c r="C182" s="11" t="s">
        <v>36</v>
      </c>
      <c r="D182" s="11" t="s">
        <v>37</v>
      </c>
      <c r="E182" s="11" t="s">
        <v>760</v>
      </c>
      <c r="F182" s="5">
        <v>500000</v>
      </c>
      <c r="G182" s="18">
        <v>0.2</v>
      </c>
      <c r="H182" s="14">
        <v>36</v>
      </c>
      <c r="I182" s="3">
        <v>45559</v>
      </c>
      <c r="J182" s="11" t="s">
        <v>33</v>
      </c>
      <c r="K182" s="12" t="s">
        <v>797</v>
      </c>
      <c r="L182" s="12" t="s">
        <v>808</v>
      </c>
      <c r="M182" s="7">
        <v>40000000</v>
      </c>
      <c r="N182" s="12" t="str">
        <f t="shared" si="2"/>
        <v>NORMAL</v>
      </c>
      <c r="O182" t="str">
        <f>_xlfn.XLOOKUP(C182,[1]branches!$A$2:$A$11,[1]branches!$D$2:$D$11,"No apecified")</f>
        <v>South-South</v>
      </c>
    </row>
    <row r="183" spans="1:15" x14ac:dyDescent="0.3">
      <c r="A183" s="13" t="s">
        <v>359</v>
      </c>
      <c r="B183" s="13" t="s">
        <v>150</v>
      </c>
      <c r="C183" s="13" t="s">
        <v>22</v>
      </c>
      <c r="D183" s="13" t="s">
        <v>30</v>
      </c>
      <c r="E183" s="13" t="s">
        <v>81</v>
      </c>
      <c r="F183" s="6">
        <v>7500000</v>
      </c>
      <c r="G183" s="19">
        <v>0.16</v>
      </c>
      <c r="H183" s="15">
        <v>12</v>
      </c>
      <c r="I183" s="4">
        <v>45426</v>
      </c>
      <c r="J183" s="13" t="s">
        <v>14</v>
      </c>
      <c r="K183" s="12" t="s">
        <v>795</v>
      </c>
      <c r="L183" s="12" t="s">
        <v>807</v>
      </c>
      <c r="M183" s="7">
        <v>30000000</v>
      </c>
      <c r="N183" s="12" t="str">
        <f t="shared" si="2"/>
        <v>NORMAL</v>
      </c>
      <c r="O183" t="str">
        <f>_xlfn.XLOOKUP(C183,[1]branches!$A$2:$A$11,[1]branches!$D$2:$D$11,"No apecified")</f>
        <v>North</v>
      </c>
    </row>
    <row r="184" spans="1:15" x14ac:dyDescent="0.3">
      <c r="A184" s="11" t="s">
        <v>360</v>
      </c>
      <c r="B184" s="11" t="s">
        <v>285</v>
      </c>
      <c r="C184" s="11" t="s">
        <v>17</v>
      </c>
      <c r="D184" s="11" t="s">
        <v>18</v>
      </c>
      <c r="E184" s="11" t="s">
        <v>81</v>
      </c>
      <c r="F184" s="5">
        <v>2000000</v>
      </c>
      <c r="G184" s="18">
        <v>0.16</v>
      </c>
      <c r="H184" s="14">
        <v>12</v>
      </c>
      <c r="I184" s="3">
        <v>45472</v>
      </c>
      <c r="J184" s="11" t="s">
        <v>19</v>
      </c>
      <c r="K184" s="12" t="s">
        <v>794</v>
      </c>
      <c r="L184" s="12" t="s">
        <v>804</v>
      </c>
      <c r="M184" s="7">
        <v>75000000</v>
      </c>
      <c r="N184" s="12" t="str">
        <f t="shared" si="2"/>
        <v>AT RISK</v>
      </c>
      <c r="O184" t="str">
        <f>_xlfn.XLOOKUP(C184,[1]branches!$A$2:$A$11,[1]branches!$D$2:$D$11,"No apecified")</f>
        <v>South-South</v>
      </c>
    </row>
    <row r="185" spans="1:15" x14ac:dyDescent="0.3">
      <c r="A185" s="13" t="s">
        <v>361</v>
      </c>
      <c r="B185" s="13" t="s">
        <v>355</v>
      </c>
      <c r="C185" s="13" t="s">
        <v>42</v>
      </c>
      <c r="D185" s="13" t="s">
        <v>282</v>
      </c>
      <c r="E185" s="13" t="s">
        <v>39</v>
      </c>
      <c r="F185" s="6">
        <v>750000</v>
      </c>
      <c r="G185" s="19">
        <v>0.22</v>
      </c>
      <c r="H185" s="15">
        <v>18</v>
      </c>
      <c r="I185" s="4">
        <v>45350</v>
      </c>
      <c r="J185" s="13" t="s">
        <v>14</v>
      </c>
      <c r="K185" s="12" t="s">
        <v>798</v>
      </c>
      <c r="L185" s="12" t="s">
        <v>822</v>
      </c>
      <c r="M185" s="7">
        <v>50000000</v>
      </c>
      <c r="N185" s="12" t="str">
        <f t="shared" si="2"/>
        <v>NORMAL</v>
      </c>
      <c r="O185" t="str">
        <f>_xlfn.XLOOKUP(C185,[1]branches!$A$2:$A$11,[1]branches!$D$2:$D$11,"No apecified")</f>
        <v>North</v>
      </c>
    </row>
    <row r="186" spans="1:15" x14ac:dyDescent="0.3">
      <c r="A186" s="11" t="s">
        <v>362</v>
      </c>
      <c r="B186" s="11" t="s">
        <v>363</v>
      </c>
      <c r="C186" s="11" t="s">
        <v>36</v>
      </c>
      <c r="D186" s="11" t="s">
        <v>37</v>
      </c>
      <c r="E186" s="11" t="s">
        <v>760</v>
      </c>
      <c r="F186" s="5">
        <v>3000000</v>
      </c>
      <c r="G186" s="18">
        <v>0.18</v>
      </c>
      <c r="H186" s="14">
        <v>36</v>
      </c>
      <c r="I186" s="3">
        <v>45563</v>
      </c>
      <c r="J186" s="11" t="s">
        <v>14</v>
      </c>
      <c r="K186" s="12" t="s">
        <v>797</v>
      </c>
      <c r="L186" s="12" t="s">
        <v>808</v>
      </c>
      <c r="M186" s="7">
        <v>40000000</v>
      </c>
      <c r="N186" s="12" t="str">
        <f t="shared" si="2"/>
        <v>NORMAL</v>
      </c>
      <c r="O186" t="str">
        <f>_xlfn.XLOOKUP(C186,[1]branches!$A$2:$A$11,[1]branches!$D$2:$D$11,"No apecified")</f>
        <v>South-South</v>
      </c>
    </row>
    <row r="187" spans="1:15" x14ac:dyDescent="0.3">
      <c r="A187" s="13" t="s">
        <v>364</v>
      </c>
      <c r="B187" s="13" t="s">
        <v>259</v>
      </c>
      <c r="C187" s="13" t="s">
        <v>36</v>
      </c>
      <c r="D187" s="13" t="s">
        <v>121</v>
      </c>
      <c r="E187" s="13" t="s">
        <v>81</v>
      </c>
      <c r="F187" s="6">
        <v>10000000</v>
      </c>
      <c r="G187" s="19">
        <v>0.18</v>
      </c>
      <c r="H187" s="15">
        <v>24</v>
      </c>
      <c r="I187" s="4">
        <v>45573</v>
      </c>
      <c r="J187" s="13" t="s">
        <v>14</v>
      </c>
      <c r="K187" s="12" t="s">
        <v>797</v>
      </c>
      <c r="L187" s="12" t="s">
        <v>818</v>
      </c>
      <c r="M187" s="7">
        <v>30000000</v>
      </c>
      <c r="N187" s="12" t="str">
        <f t="shared" si="2"/>
        <v>NORMAL</v>
      </c>
      <c r="O187" t="str">
        <f>_xlfn.XLOOKUP(C187,[1]branches!$A$2:$A$11,[1]branches!$D$2:$D$11,"No apecified")</f>
        <v>South-South</v>
      </c>
    </row>
    <row r="188" spans="1:15" x14ac:dyDescent="0.3">
      <c r="A188" s="11" t="s">
        <v>365</v>
      </c>
      <c r="B188" s="11" t="s">
        <v>150</v>
      </c>
      <c r="C188" s="11" t="s">
        <v>22</v>
      </c>
      <c r="D188" s="11" t="s">
        <v>30</v>
      </c>
      <c r="E188" s="11" t="s">
        <v>81</v>
      </c>
      <c r="F188" s="5">
        <v>750000</v>
      </c>
      <c r="G188" s="18">
        <v>0.2</v>
      </c>
      <c r="H188" s="14">
        <v>6</v>
      </c>
      <c r="I188" s="3">
        <v>45527</v>
      </c>
      <c r="J188" s="11" t="s">
        <v>33</v>
      </c>
      <c r="K188" s="12" t="s">
        <v>795</v>
      </c>
      <c r="L188" s="12" t="s">
        <v>807</v>
      </c>
      <c r="M188" s="7">
        <v>30000000</v>
      </c>
      <c r="N188" s="12" t="str">
        <f t="shared" si="2"/>
        <v>NORMAL</v>
      </c>
      <c r="O188" t="str">
        <f>_xlfn.XLOOKUP(C188,[1]branches!$A$2:$A$11,[1]branches!$D$2:$D$11,"No apecified")</f>
        <v>North</v>
      </c>
    </row>
    <row r="189" spans="1:15" x14ac:dyDescent="0.3">
      <c r="A189" s="13" t="s">
        <v>366</v>
      </c>
      <c r="B189" s="13" t="s">
        <v>106</v>
      </c>
      <c r="C189" s="13" t="s">
        <v>22</v>
      </c>
      <c r="D189" s="13" t="s">
        <v>23</v>
      </c>
      <c r="E189" s="13" t="s">
        <v>39</v>
      </c>
      <c r="F189" s="6">
        <v>2000000</v>
      </c>
      <c r="G189" s="19">
        <v>0.18</v>
      </c>
      <c r="H189" s="15">
        <v>36</v>
      </c>
      <c r="I189" s="4">
        <v>45503</v>
      </c>
      <c r="J189" s="13" t="s">
        <v>33</v>
      </c>
      <c r="K189" s="12" t="s">
        <v>795</v>
      </c>
      <c r="L189" s="12" t="s">
        <v>805</v>
      </c>
      <c r="M189" s="7">
        <v>30000000</v>
      </c>
      <c r="N189" s="12" t="str">
        <f t="shared" si="2"/>
        <v>NORMAL</v>
      </c>
      <c r="O189" t="str">
        <f>_xlfn.XLOOKUP(C189,[1]branches!$A$2:$A$11,[1]branches!$D$2:$D$11,"No apecified")</f>
        <v>North</v>
      </c>
    </row>
    <row r="190" spans="1:15" x14ac:dyDescent="0.3">
      <c r="A190" s="11" t="s">
        <v>367</v>
      </c>
      <c r="B190" s="11" t="s">
        <v>166</v>
      </c>
      <c r="C190" s="11" t="s">
        <v>42</v>
      </c>
      <c r="D190" s="11" t="s">
        <v>43</v>
      </c>
      <c r="E190" s="11" t="s">
        <v>39</v>
      </c>
      <c r="F190" s="5">
        <v>750000</v>
      </c>
      <c r="G190" s="18">
        <v>0.18</v>
      </c>
      <c r="H190" s="14">
        <v>12</v>
      </c>
      <c r="I190" s="3">
        <v>45308</v>
      </c>
      <c r="J190" s="11" t="s">
        <v>14</v>
      </c>
      <c r="K190" s="12" t="s">
        <v>798</v>
      </c>
      <c r="L190" s="12" t="s">
        <v>809</v>
      </c>
      <c r="M190" s="7">
        <v>40000000</v>
      </c>
      <c r="N190" s="12" t="str">
        <f t="shared" si="2"/>
        <v>NORMAL</v>
      </c>
      <c r="O190" t="str">
        <f>_xlfn.XLOOKUP(C190,[1]branches!$A$2:$A$11,[1]branches!$D$2:$D$11,"No apecified")</f>
        <v>North</v>
      </c>
    </row>
    <row r="191" spans="1:15" x14ac:dyDescent="0.3">
      <c r="A191" s="13" t="s">
        <v>368</v>
      </c>
      <c r="B191" s="13" t="s">
        <v>144</v>
      </c>
      <c r="C191" s="13" t="s">
        <v>12</v>
      </c>
      <c r="D191" s="13" t="s">
        <v>145</v>
      </c>
      <c r="E191" s="13" t="s">
        <v>39</v>
      </c>
      <c r="F191" s="6">
        <v>1500000</v>
      </c>
      <c r="G191" s="19">
        <v>0.2</v>
      </c>
      <c r="H191" s="15">
        <v>18</v>
      </c>
      <c r="I191" s="4">
        <v>45529</v>
      </c>
      <c r="J191" s="13" t="s">
        <v>14</v>
      </c>
      <c r="K191" s="12" t="s">
        <v>793</v>
      </c>
      <c r="L191" s="12" t="s">
        <v>820</v>
      </c>
      <c r="M191" s="7">
        <v>40000000</v>
      </c>
      <c r="N191" s="12" t="str">
        <f t="shared" si="2"/>
        <v>NORMAL</v>
      </c>
      <c r="O191" t="str">
        <f>_xlfn.XLOOKUP(C191,[1]branches!$A$2:$A$11,[1]branches!$D$2:$D$11,"No apecified")</f>
        <v>North</v>
      </c>
    </row>
    <row r="192" spans="1:15" x14ac:dyDescent="0.3">
      <c r="A192" s="11" t="s">
        <v>369</v>
      </c>
      <c r="B192" s="11" t="s">
        <v>370</v>
      </c>
      <c r="C192" s="11" t="s">
        <v>36</v>
      </c>
      <c r="D192" s="11" t="s">
        <v>37</v>
      </c>
      <c r="E192" s="11" t="s">
        <v>760</v>
      </c>
      <c r="F192" s="5">
        <v>5000000</v>
      </c>
      <c r="G192" s="18">
        <v>0.16</v>
      </c>
      <c r="H192" s="14">
        <v>18</v>
      </c>
      <c r="I192" s="3">
        <v>45397</v>
      </c>
      <c r="J192" s="11" t="s">
        <v>33</v>
      </c>
      <c r="K192" s="12" t="s">
        <v>797</v>
      </c>
      <c r="L192" s="12" t="s">
        <v>808</v>
      </c>
      <c r="M192" s="7">
        <v>40000000</v>
      </c>
      <c r="N192" s="12" t="str">
        <f t="shared" si="2"/>
        <v>NORMAL</v>
      </c>
      <c r="O192" t="str">
        <f>_xlfn.XLOOKUP(C192,[1]branches!$A$2:$A$11,[1]branches!$D$2:$D$11,"No apecified")</f>
        <v>South-South</v>
      </c>
    </row>
    <row r="193" spans="1:15" x14ac:dyDescent="0.3">
      <c r="A193" s="13" t="s">
        <v>371</v>
      </c>
      <c r="B193" s="13" t="s">
        <v>87</v>
      </c>
      <c r="C193" s="13" t="s">
        <v>22</v>
      </c>
      <c r="D193" s="13" t="s">
        <v>30</v>
      </c>
      <c r="E193" s="13" t="s">
        <v>39</v>
      </c>
      <c r="F193" s="6">
        <v>3000000</v>
      </c>
      <c r="G193" s="19">
        <v>0.24</v>
      </c>
      <c r="H193" s="15">
        <v>36</v>
      </c>
      <c r="I193" s="4">
        <v>45534</v>
      </c>
      <c r="J193" s="13" t="s">
        <v>33</v>
      </c>
      <c r="K193" s="12" t="s">
        <v>795</v>
      </c>
      <c r="L193" s="12" t="s">
        <v>807</v>
      </c>
      <c r="M193" s="7">
        <v>30000000</v>
      </c>
      <c r="N193" s="12" t="str">
        <f t="shared" si="2"/>
        <v>NORMAL</v>
      </c>
      <c r="O193" t="str">
        <f>_xlfn.XLOOKUP(C193,[1]branches!$A$2:$A$11,[1]branches!$D$2:$D$11,"No apecified")</f>
        <v>North</v>
      </c>
    </row>
    <row r="194" spans="1:15" x14ac:dyDescent="0.3">
      <c r="A194" s="11" t="s">
        <v>372</v>
      </c>
      <c r="B194" s="11" t="s">
        <v>373</v>
      </c>
      <c r="C194" s="11" t="s">
        <v>22</v>
      </c>
      <c r="D194" s="11" t="s">
        <v>23</v>
      </c>
      <c r="E194" s="11" t="s">
        <v>81</v>
      </c>
      <c r="F194" s="5">
        <v>2000000</v>
      </c>
      <c r="G194" s="18">
        <v>0.18</v>
      </c>
      <c r="H194" s="14">
        <v>18</v>
      </c>
      <c r="I194" s="3">
        <v>45555</v>
      </c>
      <c r="J194" s="11" t="s">
        <v>33</v>
      </c>
      <c r="K194" s="12" t="s">
        <v>795</v>
      </c>
      <c r="L194" s="12" t="s">
        <v>805</v>
      </c>
      <c r="M194" s="7">
        <v>30000000</v>
      </c>
      <c r="N194" s="12" t="str">
        <f t="shared" ref="N194:N257" si="3">IF(AND(J194="Defaulted",F194&gt;2000000), "HIGH RISK", IF(J194="Defaulted", "AT RISK", "NORMAL"))</f>
        <v>NORMAL</v>
      </c>
      <c r="O194" t="str">
        <f>_xlfn.XLOOKUP(C194,[1]branches!$A$2:$A$11,[1]branches!$D$2:$D$11,"No apecified")</f>
        <v>North</v>
      </c>
    </row>
    <row r="195" spans="1:15" x14ac:dyDescent="0.3">
      <c r="A195" s="13" t="s">
        <v>374</v>
      </c>
      <c r="B195" s="13" t="s">
        <v>129</v>
      </c>
      <c r="C195" s="13" t="s">
        <v>60</v>
      </c>
      <c r="D195" s="13" t="s">
        <v>69</v>
      </c>
      <c r="E195" s="13" t="s">
        <v>760</v>
      </c>
      <c r="F195" s="6">
        <v>2000000</v>
      </c>
      <c r="G195" s="19">
        <v>0.2</v>
      </c>
      <c r="H195" s="15">
        <v>12</v>
      </c>
      <c r="I195" s="4">
        <v>45341</v>
      </c>
      <c r="J195" s="13" t="s">
        <v>14</v>
      </c>
      <c r="K195" s="12" t="s">
        <v>802</v>
      </c>
      <c r="L195" s="12" t="s">
        <v>815</v>
      </c>
      <c r="M195" s="7">
        <v>75000000</v>
      </c>
      <c r="N195" s="12" t="str">
        <f t="shared" si="3"/>
        <v>NORMAL</v>
      </c>
      <c r="O195" t="str">
        <f>_xlfn.XLOOKUP(C195,[1]branches!$A$2:$A$11,[1]branches!$D$2:$D$11,"No apecified")</f>
        <v>North</v>
      </c>
    </row>
    <row r="196" spans="1:15" x14ac:dyDescent="0.3">
      <c r="A196" s="11" t="s">
        <v>375</v>
      </c>
      <c r="B196" s="11" t="s">
        <v>376</v>
      </c>
      <c r="C196" s="11" t="s">
        <v>60</v>
      </c>
      <c r="D196" s="11" t="s">
        <v>69</v>
      </c>
      <c r="E196" s="11" t="s">
        <v>760</v>
      </c>
      <c r="F196" s="5">
        <v>3000000</v>
      </c>
      <c r="G196" s="18">
        <v>0.24</v>
      </c>
      <c r="H196" s="14">
        <v>36</v>
      </c>
      <c r="I196" s="3">
        <v>45392</v>
      </c>
      <c r="J196" s="11" t="s">
        <v>19</v>
      </c>
      <c r="K196" s="12" t="s">
        <v>802</v>
      </c>
      <c r="L196" s="12" t="s">
        <v>815</v>
      </c>
      <c r="M196" s="7">
        <v>75000000</v>
      </c>
      <c r="N196" s="12" t="str">
        <f t="shared" si="3"/>
        <v>HIGH RISK</v>
      </c>
      <c r="O196" t="str">
        <f>_xlfn.XLOOKUP(C196,[1]branches!$A$2:$A$11,[1]branches!$D$2:$D$11,"No apecified")</f>
        <v>North</v>
      </c>
    </row>
    <row r="197" spans="1:15" x14ac:dyDescent="0.3">
      <c r="A197" s="13" t="s">
        <v>377</v>
      </c>
      <c r="B197" s="13" t="s">
        <v>376</v>
      </c>
      <c r="C197" s="13" t="s">
        <v>60</v>
      </c>
      <c r="D197" s="13" t="s">
        <v>69</v>
      </c>
      <c r="E197" s="13" t="s">
        <v>760</v>
      </c>
      <c r="F197" s="6">
        <v>2000000</v>
      </c>
      <c r="G197" s="19">
        <v>0.22</v>
      </c>
      <c r="H197" s="15">
        <v>36</v>
      </c>
      <c r="I197" s="4">
        <v>45593</v>
      </c>
      <c r="J197" s="13" t="s">
        <v>33</v>
      </c>
      <c r="K197" s="12" t="s">
        <v>802</v>
      </c>
      <c r="L197" s="12" t="s">
        <v>815</v>
      </c>
      <c r="M197" s="7">
        <v>75000000</v>
      </c>
      <c r="N197" s="12" t="str">
        <f t="shared" si="3"/>
        <v>NORMAL</v>
      </c>
      <c r="O197" t="str">
        <f>_xlfn.XLOOKUP(C197,[1]branches!$A$2:$A$11,[1]branches!$D$2:$D$11,"No apecified")</f>
        <v>North</v>
      </c>
    </row>
    <row r="198" spans="1:15" x14ac:dyDescent="0.3">
      <c r="A198" s="11" t="s">
        <v>378</v>
      </c>
      <c r="B198" s="11" t="s">
        <v>379</v>
      </c>
      <c r="C198" s="11" t="s">
        <v>60</v>
      </c>
      <c r="D198" s="11" t="s">
        <v>61</v>
      </c>
      <c r="E198" s="11" t="s">
        <v>39</v>
      </c>
      <c r="F198" s="5">
        <v>750000</v>
      </c>
      <c r="G198" s="18">
        <v>0.24</v>
      </c>
      <c r="H198" s="14">
        <v>6</v>
      </c>
      <c r="I198" s="3">
        <v>45314</v>
      </c>
      <c r="J198" s="11" t="s">
        <v>33</v>
      </c>
      <c r="K198" s="12" t="s">
        <v>802</v>
      </c>
      <c r="L198" s="12" t="s">
        <v>813</v>
      </c>
      <c r="M198" s="7">
        <v>75000000</v>
      </c>
      <c r="N198" s="12" t="str">
        <f t="shared" si="3"/>
        <v>NORMAL</v>
      </c>
      <c r="O198" t="str">
        <f>_xlfn.XLOOKUP(C198,[1]branches!$A$2:$A$11,[1]branches!$D$2:$D$11,"No apecified")</f>
        <v>North</v>
      </c>
    </row>
    <row r="199" spans="1:15" x14ac:dyDescent="0.3">
      <c r="A199" s="13" t="s">
        <v>380</v>
      </c>
      <c r="B199" s="13" t="s">
        <v>25</v>
      </c>
      <c r="C199" s="13" t="s">
        <v>26</v>
      </c>
      <c r="D199" s="13" t="s">
        <v>27</v>
      </c>
      <c r="E199" s="13" t="s">
        <v>81</v>
      </c>
      <c r="F199" s="6">
        <v>2000000</v>
      </c>
      <c r="G199" s="19">
        <v>0.18</v>
      </c>
      <c r="H199" s="15">
        <v>6</v>
      </c>
      <c r="I199" s="4">
        <v>45573</v>
      </c>
      <c r="J199" s="13" t="s">
        <v>33</v>
      </c>
      <c r="K199" s="12" t="s">
        <v>796</v>
      </c>
      <c r="L199" s="12" t="s">
        <v>806</v>
      </c>
      <c r="M199" s="7">
        <v>50000000</v>
      </c>
      <c r="N199" s="12" t="str">
        <f t="shared" si="3"/>
        <v>NORMAL</v>
      </c>
      <c r="O199" t="str">
        <f>_xlfn.XLOOKUP(C199,[1]branches!$A$2:$A$11,[1]branches!$D$2:$D$11,"No apecified")</f>
        <v>North</v>
      </c>
    </row>
    <row r="200" spans="1:15" x14ac:dyDescent="0.3">
      <c r="A200" s="11" t="s">
        <v>381</v>
      </c>
      <c r="B200" s="11" t="s">
        <v>382</v>
      </c>
      <c r="C200" s="11" t="s">
        <v>60</v>
      </c>
      <c r="D200" s="11" t="s">
        <v>61</v>
      </c>
      <c r="E200" s="11" t="s">
        <v>81</v>
      </c>
      <c r="F200" s="5">
        <v>7500000</v>
      </c>
      <c r="G200" s="18">
        <v>0.22</v>
      </c>
      <c r="H200" s="14">
        <v>36</v>
      </c>
      <c r="I200" s="3">
        <v>45438</v>
      </c>
      <c r="J200" s="11" t="s">
        <v>33</v>
      </c>
      <c r="K200" s="12" t="s">
        <v>802</v>
      </c>
      <c r="L200" s="12" t="s">
        <v>813</v>
      </c>
      <c r="M200" s="7">
        <v>75000000</v>
      </c>
      <c r="N200" s="12" t="str">
        <f t="shared" si="3"/>
        <v>NORMAL</v>
      </c>
      <c r="O200" t="str">
        <f>_xlfn.XLOOKUP(C200,[1]branches!$A$2:$A$11,[1]branches!$D$2:$D$11,"No apecified")</f>
        <v>North</v>
      </c>
    </row>
    <row r="201" spans="1:15" x14ac:dyDescent="0.3">
      <c r="A201" s="13" t="s">
        <v>383</v>
      </c>
      <c r="B201" s="13" t="s">
        <v>182</v>
      </c>
      <c r="C201" s="13" t="s">
        <v>12</v>
      </c>
      <c r="D201" s="13" t="s">
        <v>13</v>
      </c>
      <c r="E201" s="13" t="s">
        <v>760</v>
      </c>
      <c r="F201" s="6">
        <v>1500000</v>
      </c>
      <c r="G201" s="19">
        <v>0.2</v>
      </c>
      <c r="H201" s="15">
        <v>6</v>
      </c>
      <c r="I201" s="4">
        <v>45584</v>
      </c>
      <c r="J201" s="13" t="s">
        <v>19</v>
      </c>
      <c r="K201" s="12" t="s">
        <v>793</v>
      </c>
      <c r="L201" s="12" t="s">
        <v>803</v>
      </c>
      <c r="M201" s="7">
        <v>75000000</v>
      </c>
      <c r="N201" s="12" t="str">
        <f t="shared" si="3"/>
        <v>AT RISK</v>
      </c>
      <c r="O201" t="str">
        <f>_xlfn.XLOOKUP(C201,[1]branches!$A$2:$A$11,[1]branches!$D$2:$D$11,"No apecified")</f>
        <v>North</v>
      </c>
    </row>
    <row r="202" spans="1:15" x14ac:dyDescent="0.3">
      <c r="A202" s="11" t="s">
        <v>384</v>
      </c>
      <c r="B202" s="11" t="s">
        <v>11</v>
      </c>
      <c r="C202" s="11" t="s">
        <v>12</v>
      </c>
      <c r="D202" s="11" t="s">
        <v>13</v>
      </c>
      <c r="E202" s="11" t="s">
        <v>81</v>
      </c>
      <c r="F202" s="5">
        <v>10000000</v>
      </c>
      <c r="G202" s="18">
        <v>0.22</v>
      </c>
      <c r="H202" s="14">
        <v>36</v>
      </c>
      <c r="I202" s="3">
        <v>45639</v>
      </c>
      <c r="J202" s="11" t="s">
        <v>19</v>
      </c>
      <c r="K202" s="12" t="s">
        <v>793</v>
      </c>
      <c r="L202" s="12" t="s">
        <v>803</v>
      </c>
      <c r="M202" s="7">
        <v>75000000</v>
      </c>
      <c r="N202" s="12" t="str">
        <f t="shared" si="3"/>
        <v>HIGH RISK</v>
      </c>
      <c r="O202" t="str">
        <f>_xlfn.XLOOKUP(C202,[1]branches!$A$2:$A$11,[1]branches!$D$2:$D$11,"No apecified")</f>
        <v>North</v>
      </c>
    </row>
    <row r="203" spans="1:15" x14ac:dyDescent="0.3">
      <c r="A203" s="13" t="s">
        <v>385</v>
      </c>
      <c r="B203" s="13" t="s">
        <v>153</v>
      </c>
      <c r="C203" s="13" t="s">
        <v>56</v>
      </c>
      <c r="D203" s="13" t="s">
        <v>57</v>
      </c>
      <c r="E203" s="13" t="s">
        <v>760</v>
      </c>
      <c r="F203" s="6">
        <v>10000000</v>
      </c>
      <c r="G203" s="19">
        <v>0.24</v>
      </c>
      <c r="H203" s="15">
        <v>6</v>
      </c>
      <c r="I203" s="4">
        <v>45381</v>
      </c>
      <c r="J203" s="13" t="s">
        <v>33</v>
      </c>
      <c r="K203" s="12" t="s">
        <v>801</v>
      </c>
      <c r="L203" s="12" t="s">
        <v>812</v>
      </c>
      <c r="M203" s="7">
        <v>50000000</v>
      </c>
      <c r="N203" s="12" t="str">
        <f t="shared" si="3"/>
        <v>NORMAL</v>
      </c>
      <c r="O203" t="str">
        <f>_xlfn.XLOOKUP(C203,[1]branches!$A$2:$A$11,[1]branches!$D$2:$D$11,"No apecified")</f>
        <v>South-West</v>
      </c>
    </row>
    <row r="204" spans="1:15" x14ac:dyDescent="0.3">
      <c r="A204" s="11" t="s">
        <v>386</v>
      </c>
      <c r="B204" s="11" t="s">
        <v>387</v>
      </c>
      <c r="C204" s="11" t="s">
        <v>46</v>
      </c>
      <c r="D204" s="11" t="s">
        <v>96</v>
      </c>
      <c r="E204" s="11" t="s">
        <v>81</v>
      </c>
      <c r="F204" s="5">
        <v>1000000</v>
      </c>
      <c r="G204" s="18">
        <v>0.24</v>
      </c>
      <c r="H204" s="14">
        <v>12</v>
      </c>
      <c r="I204" s="3">
        <v>45307</v>
      </c>
      <c r="J204" s="11" t="s">
        <v>14</v>
      </c>
      <c r="K204" s="12" t="s">
        <v>799</v>
      </c>
      <c r="L204" s="12" t="s">
        <v>817</v>
      </c>
      <c r="M204" s="7">
        <v>40000000</v>
      </c>
      <c r="N204" s="12" t="str">
        <f t="shared" si="3"/>
        <v>NORMAL</v>
      </c>
      <c r="O204" t="str">
        <f>_xlfn.XLOOKUP(C204,[1]branches!$A$2:$A$11,[1]branches!$D$2:$D$11,"No apecified")</f>
        <v>South-West</v>
      </c>
    </row>
    <row r="205" spans="1:15" x14ac:dyDescent="0.3">
      <c r="A205" s="13" t="s">
        <v>388</v>
      </c>
      <c r="B205" s="13" t="s">
        <v>326</v>
      </c>
      <c r="C205" s="13" t="s">
        <v>42</v>
      </c>
      <c r="D205" s="13" t="s">
        <v>43</v>
      </c>
      <c r="E205" s="13" t="s">
        <v>81</v>
      </c>
      <c r="F205" s="6">
        <v>7500000</v>
      </c>
      <c r="G205" s="19">
        <v>0.16</v>
      </c>
      <c r="H205" s="15">
        <v>18</v>
      </c>
      <c r="I205" s="4">
        <v>45333</v>
      </c>
      <c r="J205" s="13" t="s">
        <v>19</v>
      </c>
      <c r="K205" s="12" t="s">
        <v>798</v>
      </c>
      <c r="L205" s="12" t="s">
        <v>809</v>
      </c>
      <c r="M205" s="7">
        <v>40000000</v>
      </c>
      <c r="N205" s="12" t="str">
        <f t="shared" si="3"/>
        <v>HIGH RISK</v>
      </c>
      <c r="O205" t="str">
        <f>_xlfn.XLOOKUP(C205,[1]branches!$A$2:$A$11,[1]branches!$D$2:$D$11,"No apecified")</f>
        <v>North</v>
      </c>
    </row>
    <row r="206" spans="1:15" x14ac:dyDescent="0.3">
      <c r="A206" s="11" t="s">
        <v>389</v>
      </c>
      <c r="B206" s="11" t="s">
        <v>158</v>
      </c>
      <c r="C206" s="11" t="s">
        <v>60</v>
      </c>
      <c r="D206" s="11" t="s">
        <v>61</v>
      </c>
      <c r="E206" s="11" t="s">
        <v>760</v>
      </c>
      <c r="F206" s="5">
        <v>7500000</v>
      </c>
      <c r="G206" s="18">
        <v>0.24</v>
      </c>
      <c r="H206" s="14">
        <v>24</v>
      </c>
      <c r="I206" s="3">
        <v>45524</v>
      </c>
      <c r="J206" s="11" t="s">
        <v>33</v>
      </c>
      <c r="K206" s="12" t="s">
        <v>802</v>
      </c>
      <c r="L206" s="12" t="s">
        <v>813</v>
      </c>
      <c r="M206" s="7">
        <v>75000000</v>
      </c>
      <c r="N206" s="12" t="str">
        <f t="shared" si="3"/>
        <v>NORMAL</v>
      </c>
      <c r="O206" t="str">
        <f>_xlfn.XLOOKUP(C206,[1]branches!$A$2:$A$11,[1]branches!$D$2:$D$11,"No apecified")</f>
        <v>North</v>
      </c>
    </row>
    <row r="207" spans="1:15" x14ac:dyDescent="0.3">
      <c r="A207" s="13" t="s">
        <v>390</v>
      </c>
      <c r="B207" s="13" t="s">
        <v>29</v>
      </c>
      <c r="C207" s="13" t="s">
        <v>22</v>
      </c>
      <c r="D207" s="13" t="s">
        <v>30</v>
      </c>
      <c r="E207" s="13" t="s">
        <v>39</v>
      </c>
      <c r="F207" s="6">
        <v>3000000</v>
      </c>
      <c r="G207" s="19">
        <v>0.22</v>
      </c>
      <c r="H207" s="15">
        <v>24</v>
      </c>
      <c r="I207" s="4">
        <v>45353</v>
      </c>
      <c r="J207" s="13" t="s">
        <v>33</v>
      </c>
      <c r="K207" s="12" t="s">
        <v>795</v>
      </c>
      <c r="L207" s="12" t="s">
        <v>807</v>
      </c>
      <c r="M207" s="7">
        <v>30000000</v>
      </c>
      <c r="N207" s="12" t="str">
        <f t="shared" si="3"/>
        <v>NORMAL</v>
      </c>
      <c r="O207" t="str">
        <f>_xlfn.XLOOKUP(C207,[1]branches!$A$2:$A$11,[1]branches!$D$2:$D$11,"No apecified")</f>
        <v>North</v>
      </c>
    </row>
    <row r="208" spans="1:15" x14ac:dyDescent="0.3">
      <c r="A208" s="11" t="s">
        <v>391</v>
      </c>
      <c r="B208" s="11" t="s">
        <v>392</v>
      </c>
      <c r="C208" s="11" t="s">
        <v>50</v>
      </c>
      <c r="D208" s="11" t="s">
        <v>134</v>
      </c>
      <c r="E208" s="11" t="s">
        <v>81</v>
      </c>
      <c r="F208" s="5">
        <v>1500000</v>
      </c>
      <c r="G208" s="18">
        <v>0.24</v>
      </c>
      <c r="H208" s="14">
        <v>24</v>
      </c>
      <c r="I208" s="3">
        <v>45612</v>
      </c>
      <c r="J208" s="11" t="s">
        <v>33</v>
      </c>
      <c r="K208" s="12" t="s">
        <v>800</v>
      </c>
      <c r="L208" s="12" t="s">
        <v>819</v>
      </c>
      <c r="M208" s="7">
        <v>75000000</v>
      </c>
      <c r="N208" s="12" t="str">
        <f t="shared" si="3"/>
        <v>NORMAL</v>
      </c>
      <c r="O208" t="str">
        <f>_xlfn.XLOOKUP(C208,[1]branches!$A$2:$A$11,[1]branches!$D$2:$D$11,"No apecified")</f>
        <v>South-West</v>
      </c>
    </row>
    <row r="209" spans="1:15" x14ac:dyDescent="0.3">
      <c r="A209" s="13" t="s">
        <v>393</v>
      </c>
      <c r="B209" s="13" t="s">
        <v>155</v>
      </c>
      <c r="C209" s="13" t="s">
        <v>36</v>
      </c>
      <c r="D209" s="13" t="s">
        <v>121</v>
      </c>
      <c r="E209" s="13" t="s">
        <v>81</v>
      </c>
      <c r="F209" s="6">
        <v>2000000</v>
      </c>
      <c r="G209" s="19">
        <v>0.22</v>
      </c>
      <c r="H209" s="15">
        <v>24</v>
      </c>
      <c r="I209" s="4">
        <v>45637</v>
      </c>
      <c r="J209" s="13" t="s">
        <v>14</v>
      </c>
      <c r="K209" s="12" t="s">
        <v>797</v>
      </c>
      <c r="L209" s="12" t="s">
        <v>818</v>
      </c>
      <c r="M209" s="7">
        <v>30000000</v>
      </c>
      <c r="N209" s="12" t="str">
        <f t="shared" si="3"/>
        <v>NORMAL</v>
      </c>
      <c r="O209" t="str">
        <f>_xlfn.XLOOKUP(C209,[1]branches!$A$2:$A$11,[1]branches!$D$2:$D$11,"No apecified")</f>
        <v>South-South</v>
      </c>
    </row>
    <row r="210" spans="1:15" x14ac:dyDescent="0.3">
      <c r="A210" s="11" t="s">
        <v>394</v>
      </c>
      <c r="B210" s="11" t="s">
        <v>395</v>
      </c>
      <c r="C210" s="11" t="s">
        <v>42</v>
      </c>
      <c r="D210" s="11" t="s">
        <v>282</v>
      </c>
      <c r="E210" s="11" t="s">
        <v>81</v>
      </c>
      <c r="F210" s="5">
        <v>10000000</v>
      </c>
      <c r="G210" s="18">
        <v>0.22</v>
      </c>
      <c r="H210" s="14">
        <v>18</v>
      </c>
      <c r="I210" s="3">
        <v>45507</v>
      </c>
      <c r="J210" s="11" t="s">
        <v>14</v>
      </c>
      <c r="K210" s="12" t="s">
        <v>798</v>
      </c>
      <c r="L210" s="12" t="s">
        <v>822</v>
      </c>
      <c r="M210" s="7">
        <v>50000000</v>
      </c>
      <c r="N210" s="12" t="str">
        <f t="shared" si="3"/>
        <v>NORMAL</v>
      </c>
      <c r="O210" t="str">
        <f>_xlfn.XLOOKUP(C210,[1]branches!$A$2:$A$11,[1]branches!$D$2:$D$11,"No apecified")</f>
        <v>North</v>
      </c>
    </row>
    <row r="211" spans="1:15" x14ac:dyDescent="0.3">
      <c r="A211" s="13" t="s">
        <v>396</v>
      </c>
      <c r="B211" s="13" t="s">
        <v>175</v>
      </c>
      <c r="C211" s="13" t="s">
        <v>50</v>
      </c>
      <c r="D211" s="13" t="s">
        <v>51</v>
      </c>
      <c r="E211" s="13" t="s">
        <v>760</v>
      </c>
      <c r="F211" s="6">
        <v>10000000</v>
      </c>
      <c r="G211" s="19">
        <v>0.22</v>
      </c>
      <c r="H211" s="15">
        <v>12</v>
      </c>
      <c r="I211" s="4">
        <v>45363</v>
      </c>
      <c r="J211" s="13" t="s">
        <v>33</v>
      </c>
      <c r="K211" s="12" t="s">
        <v>800</v>
      </c>
      <c r="L211" s="12" t="s">
        <v>811</v>
      </c>
      <c r="M211" s="7">
        <v>75000000</v>
      </c>
      <c r="N211" s="12" t="str">
        <f t="shared" si="3"/>
        <v>NORMAL</v>
      </c>
      <c r="O211" t="str">
        <f>_xlfn.XLOOKUP(C211,[1]branches!$A$2:$A$11,[1]branches!$D$2:$D$11,"No apecified")</f>
        <v>South-West</v>
      </c>
    </row>
    <row r="212" spans="1:15" x14ac:dyDescent="0.3">
      <c r="A212" s="11" t="s">
        <v>397</v>
      </c>
      <c r="B212" s="11" t="s">
        <v>207</v>
      </c>
      <c r="C212" s="11" t="s">
        <v>42</v>
      </c>
      <c r="D212" s="11" t="s">
        <v>43</v>
      </c>
      <c r="E212" s="11" t="s">
        <v>81</v>
      </c>
      <c r="F212" s="5">
        <v>2000000</v>
      </c>
      <c r="G212" s="18">
        <v>0.24</v>
      </c>
      <c r="H212" s="14">
        <v>24</v>
      </c>
      <c r="I212" s="3">
        <v>45415</v>
      </c>
      <c r="J212" s="11" t="s">
        <v>33</v>
      </c>
      <c r="K212" s="12" t="s">
        <v>798</v>
      </c>
      <c r="L212" s="12" t="s">
        <v>809</v>
      </c>
      <c r="M212" s="7">
        <v>40000000</v>
      </c>
      <c r="N212" s="12" t="str">
        <f t="shared" si="3"/>
        <v>NORMAL</v>
      </c>
      <c r="O212" t="str">
        <f>_xlfn.XLOOKUP(C212,[1]branches!$A$2:$A$11,[1]branches!$D$2:$D$11,"No apecified")</f>
        <v>North</v>
      </c>
    </row>
    <row r="213" spans="1:15" x14ac:dyDescent="0.3">
      <c r="A213" s="13" t="s">
        <v>398</v>
      </c>
      <c r="B213" s="13" t="s">
        <v>399</v>
      </c>
      <c r="C213" s="13" t="s">
        <v>22</v>
      </c>
      <c r="D213" s="13" t="s">
        <v>30</v>
      </c>
      <c r="E213" s="13" t="s">
        <v>760</v>
      </c>
      <c r="F213" s="6">
        <v>500000</v>
      </c>
      <c r="G213" s="19">
        <v>0.2</v>
      </c>
      <c r="H213" s="15">
        <v>18</v>
      </c>
      <c r="I213" s="4">
        <v>45302</v>
      </c>
      <c r="J213" s="13" t="s">
        <v>14</v>
      </c>
      <c r="K213" s="12" t="s">
        <v>795</v>
      </c>
      <c r="L213" s="12" t="s">
        <v>807</v>
      </c>
      <c r="M213" s="7">
        <v>30000000</v>
      </c>
      <c r="N213" s="12" t="str">
        <f t="shared" si="3"/>
        <v>NORMAL</v>
      </c>
      <c r="O213" t="str">
        <f>_xlfn.XLOOKUP(C213,[1]branches!$A$2:$A$11,[1]branches!$D$2:$D$11,"No apecified")</f>
        <v>North</v>
      </c>
    </row>
    <row r="214" spans="1:15" x14ac:dyDescent="0.3">
      <c r="A214" s="11" t="s">
        <v>400</v>
      </c>
      <c r="B214" s="11" t="s">
        <v>294</v>
      </c>
      <c r="C214" s="11" t="s">
        <v>56</v>
      </c>
      <c r="D214" s="11" t="s">
        <v>74</v>
      </c>
      <c r="E214" s="11" t="s">
        <v>760</v>
      </c>
      <c r="F214" s="5">
        <v>750000</v>
      </c>
      <c r="G214" s="18">
        <v>0.24</v>
      </c>
      <c r="H214" s="14">
        <v>24</v>
      </c>
      <c r="I214" s="3">
        <v>45479</v>
      </c>
      <c r="J214" s="11" t="s">
        <v>33</v>
      </c>
      <c r="K214" s="12" t="s">
        <v>801</v>
      </c>
      <c r="L214" s="12" t="s">
        <v>816</v>
      </c>
      <c r="M214" s="7">
        <v>30000000</v>
      </c>
      <c r="N214" s="12" t="str">
        <f t="shared" si="3"/>
        <v>NORMAL</v>
      </c>
      <c r="O214" t="str">
        <f>_xlfn.XLOOKUP(C214,[1]branches!$A$2:$A$11,[1]branches!$D$2:$D$11,"No apecified")</f>
        <v>South-West</v>
      </c>
    </row>
    <row r="215" spans="1:15" x14ac:dyDescent="0.3">
      <c r="A215" s="13" t="s">
        <v>401</v>
      </c>
      <c r="B215" s="13" t="s">
        <v>402</v>
      </c>
      <c r="C215" s="13" t="s">
        <v>46</v>
      </c>
      <c r="D215" s="13" t="s">
        <v>96</v>
      </c>
      <c r="E215" s="13" t="s">
        <v>760</v>
      </c>
      <c r="F215" s="6">
        <v>7500000</v>
      </c>
      <c r="G215" s="19">
        <v>0.24</v>
      </c>
      <c r="H215" s="15">
        <v>24</v>
      </c>
      <c r="I215" s="4">
        <v>45458</v>
      </c>
      <c r="J215" s="13" t="s">
        <v>14</v>
      </c>
      <c r="K215" s="12" t="s">
        <v>799</v>
      </c>
      <c r="L215" s="12" t="s">
        <v>817</v>
      </c>
      <c r="M215" s="7">
        <v>40000000</v>
      </c>
      <c r="N215" s="12" t="str">
        <f t="shared" si="3"/>
        <v>NORMAL</v>
      </c>
      <c r="O215" t="str">
        <f>_xlfn.XLOOKUP(C215,[1]branches!$A$2:$A$11,[1]branches!$D$2:$D$11,"No apecified")</f>
        <v>South-West</v>
      </c>
    </row>
    <row r="216" spans="1:15" x14ac:dyDescent="0.3">
      <c r="A216" s="11" t="s">
        <v>403</v>
      </c>
      <c r="B216" s="11" t="s">
        <v>78</v>
      </c>
      <c r="C216" s="11" t="s">
        <v>46</v>
      </c>
      <c r="D216" s="11" t="s">
        <v>47</v>
      </c>
      <c r="E216" s="11" t="s">
        <v>39</v>
      </c>
      <c r="F216" s="5">
        <v>3000000</v>
      </c>
      <c r="G216" s="18">
        <v>0.2</v>
      </c>
      <c r="H216" s="14">
        <v>36</v>
      </c>
      <c r="I216" s="3">
        <v>45389</v>
      </c>
      <c r="J216" s="11" t="s">
        <v>33</v>
      </c>
      <c r="K216" s="12" t="s">
        <v>799</v>
      </c>
      <c r="L216" s="12" t="s">
        <v>810</v>
      </c>
      <c r="M216" s="7">
        <v>30000000</v>
      </c>
      <c r="N216" s="12" t="str">
        <f t="shared" si="3"/>
        <v>NORMAL</v>
      </c>
      <c r="O216" t="str">
        <f>_xlfn.XLOOKUP(C216,[1]branches!$A$2:$A$11,[1]branches!$D$2:$D$11,"No apecified")</f>
        <v>South-West</v>
      </c>
    </row>
    <row r="217" spans="1:15" x14ac:dyDescent="0.3">
      <c r="A217" s="13" t="s">
        <v>404</v>
      </c>
      <c r="B217" s="13" t="s">
        <v>251</v>
      </c>
      <c r="C217" s="13" t="s">
        <v>50</v>
      </c>
      <c r="D217" s="13" t="s">
        <v>51</v>
      </c>
      <c r="E217" s="13" t="s">
        <v>39</v>
      </c>
      <c r="F217" s="6">
        <v>500000</v>
      </c>
      <c r="G217" s="19">
        <v>0.22</v>
      </c>
      <c r="H217" s="15">
        <v>36</v>
      </c>
      <c r="I217" s="4">
        <v>45337</v>
      </c>
      <c r="J217" s="13" t="s">
        <v>14</v>
      </c>
      <c r="K217" s="12" t="s">
        <v>800</v>
      </c>
      <c r="L217" s="12" t="s">
        <v>811</v>
      </c>
      <c r="M217" s="7">
        <v>75000000</v>
      </c>
      <c r="N217" s="12" t="str">
        <f t="shared" si="3"/>
        <v>NORMAL</v>
      </c>
      <c r="O217" t="str">
        <f>_xlfn.XLOOKUP(C217,[1]branches!$A$2:$A$11,[1]branches!$D$2:$D$11,"No apecified")</f>
        <v>South-West</v>
      </c>
    </row>
    <row r="218" spans="1:15" x14ac:dyDescent="0.3">
      <c r="A218" s="11" t="s">
        <v>405</v>
      </c>
      <c r="B218" s="11" t="s">
        <v>406</v>
      </c>
      <c r="C218" s="11" t="s">
        <v>26</v>
      </c>
      <c r="D218" s="11" t="s">
        <v>27</v>
      </c>
      <c r="E218" s="11" t="s">
        <v>760</v>
      </c>
      <c r="F218" s="5">
        <v>1000000</v>
      </c>
      <c r="G218" s="18">
        <v>0.22</v>
      </c>
      <c r="H218" s="14">
        <v>24</v>
      </c>
      <c r="I218" s="3">
        <v>45452</v>
      </c>
      <c r="J218" s="11" t="s">
        <v>14</v>
      </c>
      <c r="K218" s="12" t="s">
        <v>796</v>
      </c>
      <c r="L218" s="12" t="s">
        <v>806</v>
      </c>
      <c r="M218" s="7">
        <v>50000000</v>
      </c>
      <c r="N218" s="12" t="str">
        <f t="shared" si="3"/>
        <v>NORMAL</v>
      </c>
      <c r="O218" t="str">
        <f>_xlfn.XLOOKUP(C218,[1]branches!$A$2:$A$11,[1]branches!$D$2:$D$11,"No apecified")</f>
        <v>North</v>
      </c>
    </row>
    <row r="219" spans="1:15" x14ac:dyDescent="0.3">
      <c r="A219" s="13" t="s">
        <v>407</v>
      </c>
      <c r="B219" s="13" t="s">
        <v>310</v>
      </c>
      <c r="C219" s="13" t="s">
        <v>26</v>
      </c>
      <c r="D219" s="13" t="s">
        <v>66</v>
      </c>
      <c r="E219" s="13" t="s">
        <v>760</v>
      </c>
      <c r="F219" s="6">
        <v>500000</v>
      </c>
      <c r="G219" s="19">
        <v>0.2</v>
      </c>
      <c r="H219" s="15">
        <v>12</v>
      </c>
      <c r="I219" s="4">
        <v>45511</v>
      </c>
      <c r="J219" s="13" t="s">
        <v>14</v>
      </c>
      <c r="K219" s="12" t="s">
        <v>796</v>
      </c>
      <c r="L219" s="12" t="s">
        <v>814</v>
      </c>
      <c r="M219" s="7">
        <v>60000000</v>
      </c>
      <c r="N219" s="12" t="str">
        <f t="shared" si="3"/>
        <v>NORMAL</v>
      </c>
      <c r="O219" t="str">
        <f>_xlfn.XLOOKUP(C219,[1]branches!$A$2:$A$11,[1]branches!$D$2:$D$11,"No apecified")</f>
        <v>North</v>
      </c>
    </row>
    <row r="220" spans="1:15" x14ac:dyDescent="0.3">
      <c r="A220" s="11" t="s">
        <v>408</v>
      </c>
      <c r="B220" s="11" t="s">
        <v>409</v>
      </c>
      <c r="C220" s="11" t="s">
        <v>46</v>
      </c>
      <c r="D220" s="11" t="s">
        <v>47</v>
      </c>
      <c r="E220" s="11" t="s">
        <v>760</v>
      </c>
      <c r="F220" s="5">
        <v>750000</v>
      </c>
      <c r="G220" s="18">
        <v>0.16</v>
      </c>
      <c r="H220" s="14">
        <v>36</v>
      </c>
      <c r="I220" s="3">
        <v>45615</v>
      </c>
      <c r="J220" s="11" t="s">
        <v>14</v>
      </c>
      <c r="K220" s="12" t="s">
        <v>799</v>
      </c>
      <c r="L220" s="12" t="s">
        <v>810</v>
      </c>
      <c r="M220" s="7">
        <v>30000000</v>
      </c>
      <c r="N220" s="12" t="str">
        <f t="shared" si="3"/>
        <v>NORMAL</v>
      </c>
      <c r="O220" t="str">
        <f>_xlfn.XLOOKUP(C220,[1]branches!$A$2:$A$11,[1]branches!$D$2:$D$11,"No apecified")</f>
        <v>South-West</v>
      </c>
    </row>
    <row r="221" spans="1:15" x14ac:dyDescent="0.3">
      <c r="A221" s="13" t="s">
        <v>410</v>
      </c>
      <c r="B221" s="13" t="s">
        <v>160</v>
      </c>
      <c r="C221" s="13" t="s">
        <v>42</v>
      </c>
      <c r="D221" s="13" t="s">
        <v>43</v>
      </c>
      <c r="E221" s="13" t="s">
        <v>81</v>
      </c>
      <c r="F221" s="6">
        <v>750000</v>
      </c>
      <c r="G221" s="19">
        <v>0.18</v>
      </c>
      <c r="H221" s="15">
        <v>18</v>
      </c>
      <c r="I221" s="4">
        <v>45350</v>
      </c>
      <c r="J221" s="13" t="s">
        <v>14</v>
      </c>
      <c r="K221" s="12" t="s">
        <v>798</v>
      </c>
      <c r="L221" s="12" t="s">
        <v>809</v>
      </c>
      <c r="M221" s="7">
        <v>40000000</v>
      </c>
      <c r="N221" s="12" t="str">
        <f t="shared" si="3"/>
        <v>NORMAL</v>
      </c>
      <c r="O221" t="str">
        <f>_xlfn.XLOOKUP(C221,[1]branches!$A$2:$A$11,[1]branches!$D$2:$D$11,"No apecified")</f>
        <v>North</v>
      </c>
    </row>
    <row r="222" spans="1:15" x14ac:dyDescent="0.3">
      <c r="A222" s="11" t="s">
        <v>411</v>
      </c>
      <c r="B222" s="11" t="s">
        <v>261</v>
      </c>
      <c r="C222" s="11" t="s">
        <v>46</v>
      </c>
      <c r="D222" s="11" t="s">
        <v>47</v>
      </c>
      <c r="E222" s="11" t="s">
        <v>39</v>
      </c>
      <c r="F222" s="5">
        <v>3000000</v>
      </c>
      <c r="G222" s="18">
        <v>0.22</v>
      </c>
      <c r="H222" s="14">
        <v>18</v>
      </c>
      <c r="I222" s="3">
        <v>45353</v>
      </c>
      <c r="J222" s="11" t="s">
        <v>14</v>
      </c>
      <c r="K222" s="12" t="s">
        <v>799</v>
      </c>
      <c r="L222" s="12" t="s">
        <v>810</v>
      </c>
      <c r="M222" s="7">
        <v>30000000</v>
      </c>
      <c r="N222" s="12" t="str">
        <f t="shared" si="3"/>
        <v>NORMAL</v>
      </c>
      <c r="O222" t="str">
        <f>_xlfn.XLOOKUP(C222,[1]branches!$A$2:$A$11,[1]branches!$D$2:$D$11,"No apecified")</f>
        <v>South-West</v>
      </c>
    </row>
    <row r="223" spans="1:15" x14ac:dyDescent="0.3">
      <c r="A223" s="13" t="s">
        <v>412</v>
      </c>
      <c r="B223" s="13" t="s">
        <v>158</v>
      </c>
      <c r="C223" s="13" t="s">
        <v>60</v>
      </c>
      <c r="D223" s="13" t="s">
        <v>61</v>
      </c>
      <c r="E223" s="13" t="s">
        <v>81</v>
      </c>
      <c r="F223" s="6">
        <v>750000</v>
      </c>
      <c r="G223" s="19">
        <v>0.16</v>
      </c>
      <c r="H223" s="15">
        <v>6</v>
      </c>
      <c r="I223" s="4">
        <v>45498</v>
      </c>
      <c r="J223" s="13" t="s">
        <v>14</v>
      </c>
      <c r="K223" s="12" t="s">
        <v>802</v>
      </c>
      <c r="L223" s="12" t="s">
        <v>813</v>
      </c>
      <c r="M223" s="7">
        <v>75000000</v>
      </c>
      <c r="N223" s="12" t="str">
        <f t="shared" si="3"/>
        <v>NORMAL</v>
      </c>
      <c r="O223" t="str">
        <f>_xlfn.XLOOKUP(C223,[1]branches!$A$2:$A$11,[1]branches!$D$2:$D$11,"No apecified")</f>
        <v>North</v>
      </c>
    </row>
    <row r="224" spans="1:15" x14ac:dyDescent="0.3">
      <c r="A224" s="11" t="s">
        <v>413</v>
      </c>
      <c r="B224" s="11" t="s">
        <v>76</v>
      </c>
      <c r="C224" s="11" t="s">
        <v>36</v>
      </c>
      <c r="D224" s="11" t="s">
        <v>37</v>
      </c>
      <c r="E224" s="11" t="s">
        <v>39</v>
      </c>
      <c r="F224" s="5">
        <v>750000</v>
      </c>
      <c r="G224" s="18">
        <v>0.22</v>
      </c>
      <c r="H224" s="14">
        <v>24</v>
      </c>
      <c r="I224" s="3">
        <v>45542</v>
      </c>
      <c r="J224" s="11" t="s">
        <v>33</v>
      </c>
      <c r="K224" s="12" t="s">
        <v>797</v>
      </c>
      <c r="L224" s="12" t="s">
        <v>808</v>
      </c>
      <c r="M224" s="7">
        <v>40000000</v>
      </c>
      <c r="N224" s="12" t="str">
        <f t="shared" si="3"/>
        <v>NORMAL</v>
      </c>
      <c r="O224" t="str">
        <f>_xlfn.XLOOKUP(C224,[1]branches!$A$2:$A$11,[1]branches!$D$2:$D$11,"No apecified")</f>
        <v>South-South</v>
      </c>
    </row>
    <row r="225" spans="1:15" x14ac:dyDescent="0.3">
      <c r="A225" s="13" t="s">
        <v>414</v>
      </c>
      <c r="B225" s="13" t="s">
        <v>104</v>
      </c>
      <c r="C225" s="13" t="s">
        <v>60</v>
      </c>
      <c r="D225" s="13" t="s">
        <v>61</v>
      </c>
      <c r="E225" s="13" t="s">
        <v>760</v>
      </c>
      <c r="F225" s="6">
        <v>750000</v>
      </c>
      <c r="G225" s="19">
        <v>0.24</v>
      </c>
      <c r="H225" s="15">
        <v>24</v>
      </c>
      <c r="I225" s="4">
        <v>45579</v>
      </c>
      <c r="J225" s="13" t="s">
        <v>33</v>
      </c>
      <c r="K225" s="12" t="s">
        <v>802</v>
      </c>
      <c r="L225" s="12" t="s">
        <v>813</v>
      </c>
      <c r="M225" s="7">
        <v>75000000</v>
      </c>
      <c r="N225" s="12" t="str">
        <f t="shared" si="3"/>
        <v>NORMAL</v>
      </c>
      <c r="O225" t="str">
        <f>_xlfn.XLOOKUP(C225,[1]branches!$A$2:$A$11,[1]branches!$D$2:$D$11,"No apecified")</f>
        <v>North</v>
      </c>
    </row>
    <row r="226" spans="1:15" x14ac:dyDescent="0.3">
      <c r="A226" s="11" t="s">
        <v>415</v>
      </c>
      <c r="B226" s="11" t="s">
        <v>279</v>
      </c>
      <c r="C226" s="11" t="s">
        <v>60</v>
      </c>
      <c r="D226" s="11" t="s">
        <v>61</v>
      </c>
      <c r="E226" s="11" t="s">
        <v>760</v>
      </c>
      <c r="F226" s="5">
        <v>3000000</v>
      </c>
      <c r="G226" s="18">
        <v>0.16</v>
      </c>
      <c r="H226" s="14">
        <v>12</v>
      </c>
      <c r="I226" s="3">
        <v>45649</v>
      </c>
      <c r="J226" s="11" t="s">
        <v>33</v>
      </c>
      <c r="K226" s="12" t="s">
        <v>802</v>
      </c>
      <c r="L226" s="12" t="s">
        <v>813</v>
      </c>
      <c r="M226" s="7">
        <v>75000000</v>
      </c>
      <c r="N226" s="12" t="str">
        <f t="shared" si="3"/>
        <v>NORMAL</v>
      </c>
      <c r="O226" t="str">
        <f>_xlfn.XLOOKUP(C226,[1]branches!$A$2:$A$11,[1]branches!$D$2:$D$11,"No apecified")</f>
        <v>North</v>
      </c>
    </row>
    <row r="227" spans="1:15" x14ac:dyDescent="0.3">
      <c r="A227" s="13" t="s">
        <v>416</v>
      </c>
      <c r="B227" s="13" t="s">
        <v>417</v>
      </c>
      <c r="C227" s="13" t="s">
        <v>60</v>
      </c>
      <c r="D227" s="13" t="s">
        <v>69</v>
      </c>
      <c r="E227" s="13" t="s">
        <v>81</v>
      </c>
      <c r="F227" s="6">
        <v>7500000</v>
      </c>
      <c r="G227" s="19">
        <v>0.18</v>
      </c>
      <c r="H227" s="15">
        <v>6</v>
      </c>
      <c r="I227" s="4">
        <v>45469</v>
      </c>
      <c r="J227" s="13" t="s">
        <v>33</v>
      </c>
      <c r="K227" s="12" t="s">
        <v>802</v>
      </c>
      <c r="L227" s="12" t="s">
        <v>815</v>
      </c>
      <c r="M227" s="7">
        <v>75000000</v>
      </c>
      <c r="N227" s="12" t="str">
        <f t="shared" si="3"/>
        <v>NORMAL</v>
      </c>
      <c r="O227" t="str">
        <f>_xlfn.XLOOKUP(C227,[1]branches!$A$2:$A$11,[1]branches!$D$2:$D$11,"No apecified")</f>
        <v>North</v>
      </c>
    </row>
    <row r="228" spans="1:15" x14ac:dyDescent="0.3">
      <c r="A228" s="11" t="s">
        <v>418</v>
      </c>
      <c r="B228" s="11" t="s">
        <v>125</v>
      </c>
      <c r="C228" s="11" t="s">
        <v>36</v>
      </c>
      <c r="D228" s="11" t="s">
        <v>121</v>
      </c>
      <c r="E228" s="11" t="s">
        <v>81</v>
      </c>
      <c r="F228" s="5">
        <v>500000</v>
      </c>
      <c r="G228" s="18">
        <v>0.24</v>
      </c>
      <c r="H228" s="14">
        <v>12</v>
      </c>
      <c r="I228" s="3">
        <v>45389</v>
      </c>
      <c r="J228" s="11" t="s">
        <v>14</v>
      </c>
      <c r="K228" s="12" t="s">
        <v>797</v>
      </c>
      <c r="L228" s="12" t="s">
        <v>818</v>
      </c>
      <c r="M228" s="7">
        <v>30000000</v>
      </c>
      <c r="N228" s="12" t="str">
        <f t="shared" si="3"/>
        <v>NORMAL</v>
      </c>
      <c r="O228" t="str">
        <f>_xlfn.XLOOKUP(C228,[1]branches!$A$2:$A$11,[1]branches!$D$2:$D$11,"No apecified")</f>
        <v>South-South</v>
      </c>
    </row>
    <row r="229" spans="1:15" x14ac:dyDescent="0.3">
      <c r="A229" s="13" t="s">
        <v>419</v>
      </c>
      <c r="B229" s="13" t="s">
        <v>108</v>
      </c>
      <c r="C229" s="13" t="s">
        <v>42</v>
      </c>
      <c r="D229" s="13" t="s">
        <v>43</v>
      </c>
      <c r="E229" s="13" t="s">
        <v>81</v>
      </c>
      <c r="F229" s="6">
        <v>7500000</v>
      </c>
      <c r="G229" s="19">
        <v>0.18</v>
      </c>
      <c r="H229" s="15">
        <v>36</v>
      </c>
      <c r="I229" s="4">
        <v>45493</v>
      </c>
      <c r="J229" s="13" t="s">
        <v>14</v>
      </c>
      <c r="K229" s="12" t="s">
        <v>798</v>
      </c>
      <c r="L229" s="12" t="s">
        <v>809</v>
      </c>
      <c r="M229" s="7">
        <v>40000000</v>
      </c>
      <c r="N229" s="12" t="str">
        <f t="shared" si="3"/>
        <v>NORMAL</v>
      </c>
      <c r="O229" t="str">
        <f>_xlfn.XLOOKUP(C229,[1]branches!$A$2:$A$11,[1]branches!$D$2:$D$11,"No apecified")</f>
        <v>North</v>
      </c>
    </row>
    <row r="230" spans="1:15" x14ac:dyDescent="0.3">
      <c r="A230" s="11" t="s">
        <v>420</v>
      </c>
      <c r="B230" s="11" t="s">
        <v>150</v>
      </c>
      <c r="C230" s="11" t="s">
        <v>22</v>
      </c>
      <c r="D230" s="11" t="s">
        <v>30</v>
      </c>
      <c r="E230" s="11" t="s">
        <v>39</v>
      </c>
      <c r="F230" s="5">
        <v>750000</v>
      </c>
      <c r="G230" s="18">
        <v>0.18</v>
      </c>
      <c r="H230" s="14">
        <v>12</v>
      </c>
      <c r="I230" s="3">
        <v>45449</v>
      </c>
      <c r="J230" s="11" t="s">
        <v>33</v>
      </c>
      <c r="K230" s="12" t="s">
        <v>795</v>
      </c>
      <c r="L230" s="12" t="s">
        <v>807</v>
      </c>
      <c r="M230" s="7">
        <v>30000000</v>
      </c>
      <c r="N230" s="12" t="str">
        <f t="shared" si="3"/>
        <v>NORMAL</v>
      </c>
      <c r="O230" t="str">
        <f>_xlfn.XLOOKUP(C230,[1]branches!$A$2:$A$11,[1]branches!$D$2:$D$11,"No apecified")</f>
        <v>North</v>
      </c>
    </row>
    <row r="231" spans="1:15" x14ac:dyDescent="0.3">
      <c r="A231" s="13" t="s">
        <v>421</v>
      </c>
      <c r="B231" s="13" t="s">
        <v>316</v>
      </c>
      <c r="C231" s="13" t="s">
        <v>60</v>
      </c>
      <c r="D231" s="13" t="s">
        <v>69</v>
      </c>
      <c r="E231" s="13" t="s">
        <v>760</v>
      </c>
      <c r="F231" s="6">
        <v>5000000</v>
      </c>
      <c r="G231" s="19">
        <v>0.18</v>
      </c>
      <c r="H231" s="15">
        <v>18</v>
      </c>
      <c r="I231" s="4">
        <v>45409</v>
      </c>
      <c r="J231" s="13" t="s">
        <v>14</v>
      </c>
      <c r="K231" s="12" t="s">
        <v>802</v>
      </c>
      <c r="L231" s="12" t="s">
        <v>815</v>
      </c>
      <c r="M231" s="7">
        <v>75000000</v>
      </c>
      <c r="N231" s="12" t="str">
        <f t="shared" si="3"/>
        <v>NORMAL</v>
      </c>
      <c r="O231" t="str">
        <f>_xlfn.XLOOKUP(C231,[1]branches!$A$2:$A$11,[1]branches!$D$2:$D$11,"No apecified")</f>
        <v>North</v>
      </c>
    </row>
    <row r="232" spans="1:15" x14ac:dyDescent="0.3">
      <c r="A232" s="11" t="s">
        <v>422</v>
      </c>
      <c r="B232" s="11" t="s">
        <v>423</v>
      </c>
      <c r="C232" s="11" t="s">
        <v>22</v>
      </c>
      <c r="D232" s="11" t="s">
        <v>23</v>
      </c>
      <c r="E232" s="11" t="s">
        <v>760</v>
      </c>
      <c r="F232" s="5">
        <v>750000</v>
      </c>
      <c r="G232" s="18">
        <v>0.22</v>
      </c>
      <c r="H232" s="14">
        <v>18</v>
      </c>
      <c r="I232" s="3">
        <v>45581</v>
      </c>
      <c r="J232" s="11" t="s">
        <v>19</v>
      </c>
      <c r="K232" s="12" t="s">
        <v>795</v>
      </c>
      <c r="L232" s="12" t="s">
        <v>805</v>
      </c>
      <c r="M232" s="7">
        <v>30000000</v>
      </c>
      <c r="N232" s="12" t="str">
        <f t="shared" si="3"/>
        <v>AT RISK</v>
      </c>
      <c r="O232" t="str">
        <f>_xlfn.XLOOKUP(C232,[1]branches!$A$2:$A$11,[1]branches!$D$2:$D$11,"No apecified")</f>
        <v>North</v>
      </c>
    </row>
    <row r="233" spans="1:15" x14ac:dyDescent="0.3">
      <c r="A233" s="13" t="s">
        <v>424</v>
      </c>
      <c r="B233" s="13" t="s">
        <v>158</v>
      </c>
      <c r="C233" s="13" t="s">
        <v>60</v>
      </c>
      <c r="D233" s="13" t="s">
        <v>61</v>
      </c>
      <c r="E233" s="13" t="s">
        <v>81</v>
      </c>
      <c r="F233" s="6">
        <v>5000000</v>
      </c>
      <c r="G233" s="19">
        <v>0.16</v>
      </c>
      <c r="H233" s="15">
        <v>36</v>
      </c>
      <c r="I233" s="4">
        <v>45654</v>
      </c>
      <c r="J233" s="13" t="s">
        <v>14</v>
      </c>
      <c r="K233" s="12" t="s">
        <v>802</v>
      </c>
      <c r="L233" s="12" t="s">
        <v>813</v>
      </c>
      <c r="M233" s="7">
        <v>75000000</v>
      </c>
      <c r="N233" s="12" t="str">
        <f t="shared" si="3"/>
        <v>NORMAL</v>
      </c>
      <c r="O233" t="str">
        <f>_xlfn.XLOOKUP(C233,[1]branches!$A$2:$A$11,[1]branches!$D$2:$D$11,"No apecified")</f>
        <v>North</v>
      </c>
    </row>
    <row r="234" spans="1:15" x14ac:dyDescent="0.3">
      <c r="A234" s="11" t="s">
        <v>425</v>
      </c>
      <c r="B234" s="11" t="s">
        <v>426</v>
      </c>
      <c r="C234" s="11" t="s">
        <v>17</v>
      </c>
      <c r="D234" s="11" t="s">
        <v>18</v>
      </c>
      <c r="E234" s="11" t="s">
        <v>760</v>
      </c>
      <c r="F234" s="5">
        <v>2000000</v>
      </c>
      <c r="G234" s="18">
        <v>0.22</v>
      </c>
      <c r="H234" s="14">
        <v>24</v>
      </c>
      <c r="I234" s="3">
        <v>45527</v>
      </c>
      <c r="J234" s="11" t="s">
        <v>14</v>
      </c>
      <c r="K234" s="12" t="s">
        <v>794</v>
      </c>
      <c r="L234" s="12" t="s">
        <v>804</v>
      </c>
      <c r="M234" s="7">
        <v>75000000</v>
      </c>
      <c r="N234" s="12" t="str">
        <f t="shared" si="3"/>
        <v>NORMAL</v>
      </c>
      <c r="O234" t="str">
        <f>_xlfn.XLOOKUP(C234,[1]branches!$A$2:$A$11,[1]branches!$D$2:$D$11,"No apecified")</f>
        <v>South-South</v>
      </c>
    </row>
    <row r="235" spans="1:15" x14ac:dyDescent="0.3">
      <c r="A235" s="13" t="s">
        <v>427</v>
      </c>
      <c r="B235" s="13" t="s">
        <v>428</v>
      </c>
      <c r="C235" s="13" t="s">
        <v>36</v>
      </c>
      <c r="D235" s="13" t="s">
        <v>37</v>
      </c>
      <c r="E235" s="13" t="s">
        <v>760</v>
      </c>
      <c r="F235" s="6">
        <v>3000000</v>
      </c>
      <c r="G235" s="19">
        <v>0.22</v>
      </c>
      <c r="H235" s="15">
        <v>18</v>
      </c>
      <c r="I235" s="4">
        <v>45603</v>
      </c>
      <c r="J235" s="13" t="s">
        <v>14</v>
      </c>
      <c r="K235" s="12" t="s">
        <v>797</v>
      </c>
      <c r="L235" s="12" t="s">
        <v>808</v>
      </c>
      <c r="M235" s="7">
        <v>40000000</v>
      </c>
      <c r="N235" s="12" t="str">
        <f t="shared" si="3"/>
        <v>NORMAL</v>
      </c>
      <c r="O235" t="str">
        <f>_xlfn.XLOOKUP(C235,[1]branches!$A$2:$A$11,[1]branches!$D$2:$D$11,"No apecified")</f>
        <v>South-South</v>
      </c>
    </row>
    <row r="236" spans="1:15" x14ac:dyDescent="0.3">
      <c r="A236" s="11" t="s">
        <v>429</v>
      </c>
      <c r="B236" s="11" t="s">
        <v>430</v>
      </c>
      <c r="C236" s="11" t="s">
        <v>17</v>
      </c>
      <c r="D236" s="11" t="s">
        <v>18</v>
      </c>
      <c r="E236" s="11" t="s">
        <v>81</v>
      </c>
      <c r="F236" s="5">
        <v>5000000</v>
      </c>
      <c r="G236" s="18">
        <v>0.18</v>
      </c>
      <c r="H236" s="14">
        <v>36</v>
      </c>
      <c r="I236" s="3">
        <v>45373</v>
      </c>
      <c r="J236" s="11" t="s">
        <v>33</v>
      </c>
      <c r="K236" s="12" t="s">
        <v>794</v>
      </c>
      <c r="L236" s="12" t="s">
        <v>804</v>
      </c>
      <c r="M236" s="7">
        <v>75000000</v>
      </c>
      <c r="N236" s="12" t="str">
        <f t="shared" si="3"/>
        <v>NORMAL</v>
      </c>
      <c r="O236" t="str">
        <f>_xlfn.XLOOKUP(C236,[1]branches!$A$2:$A$11,[1]branches!$D$2:$D$11,"No apecified")</f>
        <v>South-South</v>
      </c>
    </row>
    <row r="237" spans="1:15" x14ac:dyDescent="0.3">
      <c r="A237" s="13" t="s">
        <v>431</v>
      </c>
      <c r="B237" s="13" t="s">
        <v>432</v>
      </c>
      <c r="C237" s="13" t="s">
        <v>42</v>
      </c>
      <c r="D237" s="13" t="s">
        <v>282</v>
      </c>
      <c r="E237" s="13" t="s">
        <v>760</v>
      </c>
      <c r="F237" s="6">
        <v>1000000</v>
      </c>
      <c r="G237" s="19">
        <v>0.24</v>
      </c>
      <c r="H237" s="15">
        <v>12</v>
      </c>
      <c r="I237" s="4">
        <v>45619</v>
      </c>
      <c r="J237" s="13" t="s">
        <v>19</v>
      </c>
      <c r="K237" s="12" t="s">
        <v>798</v>
      </c>
      <c r="L237" s="12" t="s">
        <v>822</v>
      </c>
      <c r="M237" s="7">
        <v>50000000</v>
      </c>
      <c r="N237" s="12" t="str">
        <f t="shared" si="3"/>
        <v>AT RISK</v>
      </c>
      <c r="O237" t="str">
        <f>_xlfn.XLOOKUP(C237,[1]branches!$A$2:$A$11,[1]branches!$D$2:$D$11,"No apecified")</f>
        <v>North</v>
      </c>
    </row>
    <row r="238" spans="1:15" x14ac:dyDescent="0.3">
      <c r="A238" s="11" t="s">
        <v>433</v>
      </c>
      <c r="B238" s="11" t="s">
        <v>379</v>
      </c>
      <c r="C238" s="11" t="s">
        <v>60</v>
      </c>
      <c r="D238" s="11" t="s">
        <v>61</v>
      </c>
      <c r="E238" s="11" t="s">
        <v>760</v>
      </c>
      <c r="F238" s="5">
        <v>7500000</v>
      </c>
      <c r="G238" s="18">
        <v>0.16</v>
      </c>
      <c r="H238" s="14">
        <v>18</v>
      </c>
      <c r="I238" s="3">
        <v>45571</v>
      </c>
      <c r="J238" s="11" t="s">
        <v>14</v>
      </c>
      <c r="K238" s="12" t="s">
        <v>802</v>
      </c>
      <c r="L238" s="12" t="s">
        <v>813</v>
      </c>
      <c r="M238" s="7">
        <v>75000000</v>
      </c>
      <c r="N238" s="12" t="str">
        <f t="shared" si="3"/>
        <v>NORMAL</v>
      </c>
      <c r="O238" t="str">
        <f>_xlfn.XLOOKUP(C238,[1]branches!$A$2:$A$11,[1]branches!$D$2:$D$11,"No apecified")</f>
        <v>North</v>
      </c>
    </row>
    <row r="239" spans="1:15" x14ac:dyDescent="0.3">
      <c r="A239" s="13" t="s">
        <v>434</v>
      </c>
      <c r="B239" s="13" t="s">
        <v>435</v>
      </c>
      <c r="C239" s="13" t="s">
        <v>26</v>
      </c>
      <c r="D239" s="13" t="s">
        <v>27</v>
      </c>
      <c r="E239" s="13" t="s">
        <v>760</v>
      </c>
      <c r="F239" s="6">
        <v>1000000</v>
      </c>
      <c r="G239" s="19">
        <v>0.22</v>
      </c>
      <c r="H239" s="15">
        <v>6</v>
      </c>
      <c r="I239" s="4">
        <v>45458</v>
      </c>
      <c r="J239" s="13" t="s">
        <v>33</v>
      </c>
      <c r="K239" s="12" t="s">
        <v>796</v>
      </c>
      <c r="L239" s="12" t="s">
        <v>806</v>
      </c>
      <c r="M239" s="7">
        <v>50000000</v>
      </c>
      <c r="N239" s="12" t="str">
        <f t="shared" si="3"/>
        <v>NORMAL</v>
      </c>
      <c r="O239" t="str">
        <f>_xlfn.XLOOKUP(C239,[1]branches!$A$2:$A$11,[1]branches!$D$2:$D$11,"No apecified")</f>
        <v>North</v>
      </c>
    </row>
    <row r="240" spans="1:15" x14ac:dyDescent="0.3">
      <c r="A240" s="11" t="s">
        <v>436</v>
      </c>
      <c r="B240" s="11" t="s">
        <v>133</v>
      </c>
      <c r="C240" s="11" t="s">
        <v>50</v>
      </c>
      <c r="D240" s="11" t="s">
        <v>134</v>
      </c>
      <c r="E240" s="11" t="s">
        <v>39</v>
      </c>
      <c r="F240" s="5">
        <v>2000000</v>
      </c>
      <c r="G240" s="18">
        <v>0.18</v>
      </c>
      <c r="H240" s="14">
        <v>36</v>
      </c>
      <c r="I240" s="3">
        <v>45499</v>
      </c>
      <c r="J240" s="11" t="s">
        <v>19</v>
      </c>
      <c r="K240" s="12" t="s">
        <v>800</v>
      </c>
      <c r="L240" s="12" t="s">
        <v>819</v>
      </c>
      <c r="M240" s="7">
        <v>75000000</v>
      </c>
      <c r="N240" s="12" t="str">
        <f t="shared" si="3"/>
        <v>AT RISK</v>
      </c>
      <c r="O240" t="str">
        <f>_xlfn.XLOOKUP(C240,[1]branches!$A$2:$A$11,[1]branches!$D$2:$D$11,"No apecified")</f>
        <v>South-West</v>
      </c>
    </row>
    <row r="241" spans="1:15" x14ac:dyDescent="0.3">
      <c r="A241" s="13" t="s">
        <v>437</v>
      </c>
      <c r="B241" s="13" t="s">
        <v>312</v>
      </c>
      <c r="C241" s="13" t="s">
        <v>46</v>
      </c>
      <c r="D241" s="13" t="s">
        <v>96</v>
      </c>
      <c r="E241" s="13" t="s">
        <v>39</v>
      </c>
      <c r="F241" s="6">
        <v>10000000</v>
      </c>
      <c r="G241" s="19">
        <v>0.2</v>
      </c>
      <c r="H241" s="15">
        <v>24</v>
      </c>
      <c r="I241" s="4">
        <v>45556</v>
      </c>
      <c r="J241" s="13" t="s">
        <v>19</v>
      </c>
      <c r="K241" s="12" t="s">
        <v>799</v>
      </c>
      <c r="L241" s="12" t="s">
        <v>817</v>
      </c>
      <c r="M241" s="7">
        <v>40000000</v>
      </c>
      <c r="N241" s="12" t="str">
        <f t="shared" si="3"/>
        <v>HIGH RISK</v>
      </c>
      <c r="O241" t="str">
        <f>_xlfn.XLOOKUP(C241,[1]branches!$A$2:$A$11,[1]branches!$D$2:$D$11,"No apecified")</f>
        <v>South-West</v>
      </c>
    </row>
    <row r="242" spans="1:15" x14ac:dyDescent="0.3">
      <c r="A242" s="11" t="s">
        <v>438</v>
      </c>
      <c r="B242" s="11" t="s">
        <v>439</v>
      </c>
      <c r="C242" s="11" t="s">
        <v>12</v>
      </c>
      <c r="D242" s="11" t="s">
        <v>145</v>
      </c>
      <c r="E242" s="11" t="s">
        <v>81</v>
      </c>
      <c r="F242" s="5">
        <v>7500000</v>
      </c>
      <c r="G242" s="18">
        <v>0.16</v>
      </c>
      <c r="H242" s="14">
        <v>6</v>
      </c>
      <c r="I242" s="3">
        <v>45465</v>
      </c>
      <c r="J242" s="11" t="s">
        <v>14</v>
      </c>
      <c r="K242" s="12" t="s">
        <v>793</v>
      </c>
      <c r="L242" s="12" t="s">
        <v>820</v>
      </c>
      <c r="M242" s="7">
        <v>40000000</v>
      </c>
      <c r="N242" s="12" t="str">
        <f t="shared" si="3"/>
        <v>NORMAL</v>
      </c>
      <c r="O242" t="str">
        <f>_xlfn.XLOOKUP(C242,[1]branches!$A$2:$A$11,[1]branches!$D$2:$D$11,"No apecified")</f>
        <v>North</v>
      </c>
    </row>
    <row r="243" spans="1:15" x14ac:dyDescent="0.3">
      <c r="A243" s="13" t="s">
        <v>440</v>
      </c>
      <c r="B243" s="13" t="s">
        <v>11</v>
      </c>
      <c r="C243" s="13" t="s">
        <v>12</v>
      </c>
      <c r="D243" s="13" t="s">
        <v>13</v>
      </c>
      <c r="E243" s="13" t="s">
        <v>81</v>
      </c>
      <c r="F243" s="6">
        <v>10000000</v>
      </c>
      <c r="G243" s="19">
        <v>0.22</v>
      </c>
      <c r="H243" s="15">
        <v>6</v>
      </c>
      <c r="I243" s="4">
        <v>45563</v>
      </c>
      <c r="J243" s="13" t="s">
        <v>14</v>
      </c>
      <c r="K243" s="12" t="s">
        <v>793</v>
      </c>
      <c r="L243" s="12" t="s">
        <v>803</v>
      </c>
      <c r="M243" s="7">
        <v>75000000</v>
      </c>
      <c r="N243" s="12" t="str">
        <f t="shared" si="3"/>
        <v>NORMAL</v>
      </c>
      <c r="O243" t="str">
        <f>_xlfn.XLOOKUP(C243,[1]branches!$A$2:$A$11,[1]branches!$D$2:$D$11,"No apecified")</f>
        <v>North</v>
      </c>
    </row>
    <row r="244" spans="1:15" x14ac:dyDescent="0.3">
      <c r="A244" s="11" t="s">
        <v>441</v>
      </c>
      <c r="B244" s="11" t="s">
        <v>162</v>
      </c>
      <c r="C244" s="11" t="s">
        <v>36</v>
      </c>
      <c r="D244" s="11" t="s">
        <v>121</v>
      </c>
      <c r="E244" s="11" t="s">
        <v>81</v>
      </c>
      <c r="F244" s="5">
        <v>1000000</v>
      </c>
      <c r="G244" s="18">
        <v>0.24</v>
      </c>
      <c r="H244" s="14">
        <v>12</v>
      </c>
      <c r="I244" s="3">
        <v>45537</v>
      </c>
      <c r="J244" s="11" t="s">
        <v>19</v>
      </c>
      <c r="K244" s="12" t="s">
        <v>797</v>
      </c>
      <c r="L244" s="12" t="s">
        <v>818</v>
      </c>
      <c r="M244" s="7">
        <v>30000000</v>
      </c>
      <c r="N244" s="12" t="str">
        <f t="shared" si="3"/>
        <v>AT RISK</v>
      </c>
      <c r="O244" t="str">
        <f>_xlfn.XLOOKUP(C244,[1]branches!$A$2:$A$11,[1]branches!$D$2:$D$11,"No apecified")</f>
        <v>South-South</v>
      </c>
    </row>
    <row r="245" spans="1:15" x14ac:dyDescent="0.3">
      <c r="A245" s="13" t="s">
        <v>442</v>
      </c>
      <c r="B245" s="13" t="s">
        <v>443</v>
      </c>
      <c r="C245" s="13" t="s">
        <v>60</v>
      </c>
      <c r="D245" s="13" t="s">
        <v>61</v>
      </c>
      <c r="E245" s="13" t="s">
        <v>760</v>
      </c>
      <c r="F245" s="6">
        <v>3000000</v>
      </c>
      <c r="G245" s="19">
        <v>0.22</v>
      </c>
      <c r="H245" s="15">
        <v>6</v>
      </c>
      <c r="I245" s="4">
        <v>45297</v>
      </c>
      <c r="J245" s="13" t="s">
        <v>33</v>
      </c>
      <c r="K245" s="12" t="s">
        <v>802</v>
      </c>
      <c r="L245" s="12" t="s">
        <v>813</v>
      </c>
      <c r="M245" s="7">
        <v>75000000</v>
      </c>
      <c r="N245" s="12" t="str">
        <f t="shared" si="3"/>
        <v>NORMAL</v>
      </c>
      <c r="O245" t="str">
        <f>_xlfn.XLOOKUP(C245,[1]branches!$A$2:$A$11,[1]branches!$D$2:$D$11,"No apecified")</f>
        <v>North</v>
      </c>
    </row>
    <row r="246" spans="1:15" x14ac:dyDescent="0.3">
      <c r="A246" s="11" t="s">
        <v>444</v>
      </c>
      <c r="B246" s="11" t="s">
        <v>87</v>
      </c>
      <c r="C246" s="11" t="s">
        <v>22</v>
      </c>
      <c r="D246" s="11" t="s">
        <v>30</v>
      </c>
      <c r="E246" s="11" t="s">
        <v>760</v>
      </c>
      <c r="F246" s="5">
        <v>750000</v>
      </c>
      <c r="G246" s="18">
        <v>0.22</v>
      </c>
      <c r="H246" s="14">
        <v>24</v>
      </c>
      <c r="I246" s="3">
        <v>45535</v>
      </c>
      <c r="J246" s="11" t="s">
        <v>14</v>
      </c>
      <c r="K246" s="12" t="s">
        <v>795</v>
      </c>
      <c r="L246" s="12" t="s">
        <v>807</v>
      </c>
      <c r="M246" s="7">
        <v>30000000</v>
      </c>
      <c r="N246" s="12" t="str">
        <f t="shared" si="3"/>
        <v>NORMAL</v>
      </c>
      <c r="O246" t="str">
        <f>_xlfn.XLOOKUP(C246,[1]branches!$A$2:$A$11,[1]branches!$D$2:$D$11,"No apecified")</f>
        <v>North</v>
      </c>
    </row>
    <row r="247" spans="1:15" x14ac:dyDescent="0.3">
      <c r="A247" s="13" t="s">
        <v>445</v>
      </c>
      <c r="B247" s="13" t="s">
        <v>446</v>
      </c>
      <c r="C247" s="13" t="s">
        <v>26</v>
      </c>
      <c r="D247" s="13" t="s">
        <v>27</v>
      </c>
      <c r="E247" s="13" t="s">
        <v>760</v>
      </c>
      <c r="F247" s="6">
        <v>1500000</v>
      </c>
      <c r="G247" s="19">
        <v>0.2</v>
      </c>
      <c r="H247" s="15">
        <v>36</v>
      </c>
      <c r="I247" s="4">
        <v>45640</v>
      </c>
      <c r="J247" s="13" t="s">
        <v>33</v>
      </c>
      <c r="K247" s="12" t="s">
        <v>796</v>
      </c>
      <c r="L247" s="12" t="s">
        <v>806</v>
      </c>
      <c r="M247" s="7">
        <v>50000000</v>
      </c>
      <c r="N247" s="12" t="str">
        <f t="shared" si="3"/>
        <v>NORMAL</v>
      </c>
      <c r="O247" t="str">
        <f>_xlfn.XLOOKUP(C247,[1]branches!$A$2:$A$11,[1]branches!$D$2:$D$11,"No apecified")</f>
        <v>North</v>
      </c>
    </row>
    <row r="248" spans="1:15" x14ac:dyDescent="0.3">
      <c r="A248" s="11" t="s">
        <v>447</v>
      </c>
      <c r="B248" s="11" t="s">
        <v>439</v>
      </c>
      <c r="C248" s="11" t="s">
        <v>12</v>
      </c>
      <c r="D248" s="11" t="s">
        <v>145</v>
      </c>
      <c r="E248" s="11" t="s">
        <v>760</v>
      </c>
      <c r="F248" s="5">
        <v>1000000</v>
      </c>
      <c r="G248" s="18">
        <v>0.2</v>
      </c>
      <c r="H248" s="14">
        <v>18</v>
      </c>
      <c r="I248" s="3">
        <v>45511</v>
      </c>
      <c r="J248" s="11" t="s">
        <v>33</v>
      </c>
      <c r="K248" s="12" t="s">
        <v>793</v>
      </c>
      <c r="L248" s="12" t="s">
        <v>820</v>
      </c>
      <c r="M248" s="7">
        <v>40000000</v>
      </c>
      <c r="N248" s="12" t="str">
        <f t="shared" si="3"/>
        <v>NORMAL</v>
      </c>
      <c r="O248" t="str">
        <f>_xlfn.XLOOKUP(C248,[1]branches!$A$2:$A$11,[1]branches!$D$2:$D$11,"No apecified")</f>
        <v>North</v>
      </c>
    </row>
    <row r="249" spans="1:15" x14ac:dyDescent="0.3">
      <c r="A249" s="13" t="s">
        <v>448</v>
      </c>
      <c r="B249" s="13" t="s">
        <v>116</v>
      </c>
      <c r="C249" s="13" t="s">
        <v>46</v>
      </c>
      <c r="D249" s="13" t="s">
        <v>47</v>
      </c>
      <c r="E249" s="13" t="s">
        <v>81</v>
      </c>
      <c r="F249" s="6">
        <v>3000000</v>
      </c>
      <c r="G249" s="19">
        <v>0.18</v>
      </c>
      <c r="H249" s="15">
        <v>24</v>
      </c>
      <c r="I249" s="4">
        <v>45499</v>
      </c>
      <c r="J249" s="13" t="s">
        <v>14</v>
      </c>
      <c r="K249" s="12" t="s">
        <v>799</v>
      </c>
      <c r="L249" s="12" t="s">
        <v>810</v>
      </c>
      <c r="M249" s="7">
        <v>30000000</v>
      </c>
      <c r="N249" s="12" t="str">
        <f t="shared" si="3"/>
        <v>NORMAL</v>
      </c>
      <c r="O249" t="str">
        <f>_xlfn.XLOOKUP(C249,[1]branches!$A$2:$A$11,[1]branches!$D$2:$D$11,"No apecified")</f>
        <v>South-West</v>
      </c>
    </row>
    <row r="250" spans="1:15" x14ac:dyDescent="0.3">
      <c r="A250" s="11" t="s">
        <v>449</v>
      </c>
      <c r="B250" s="11" t="s">
        <v>439</v>
      </c>
      <c r="C250" s="11" t="s">
        <v>12</v>
      </c>
      <c r="D250" s="11" t="s">
        <v>145</v>
      </c>
      <c r="E250" s="11" t="s">
        <v>81</v>
      </c>
      <c r="F250" s="5">
        <v>2000000</v>
      </c>
      <c r="G250" s="18">
        <v>0.16</v>
      </c>
      <c r="H250" s="14">
        <v>6</v>
      </c>
      <c r="I250" s="3">
        <v>45559</v>
      </c>
      <c r="J250" s="11" t="s">
        <v>14</v>
      </c>
      <c r="K250" s="12" t="s">
        <v>793</v>
      </c>
      <c r="L250" s="12" t="s">
        <v>820</v>
      </c>
      <c r="M250" s="7">
        <v>40000000</v>
      </c>
      <c r="N250" s="12" t="str">
        <f t="shared" si="3"/>
        <v>NORMAL</v>
      </c>
      <c r="O250" t="str">
        <f>_xlfn.XLOOKUP(C250,[1]branches!$A$2:$A$11,[1]branches!$D$2:$D$11,"No apecified")</f>
        <v>North</v>
      </c>
    </row>
    <row r="251" spans="1:15" x14ac:dyDescent="0.3">
      <c r="A251" s="13" t="s">
        <v>450</v>
      </c>
      <c r="B251" s="13" t="s">
        <v>423</v>
      </c>
      <c r="C251" s="13" t="s">
        <v>22</v>
      </c>
      <c r="D251" s="13" t="s">
        <v>23</v>
      </c>
      <c r="E251" s="13" t="s">
        <v>81</v>
      </c>
      <c r="F251" s="6">
        <v>1500000</v>
      </c>
      <c r="G251" s="19">
        <v>0.2</v>
      </c>
      <c r="H251" s="15">
        <v>18</v>
      </c>
      <c r="I251" s="4">
        <v>45347</v>
      </c>
      <c r="J251" s="13" t="s">
        <v>33</v>
      </c>
      <c r="K251" s="12" t="s">
        <v>795</v>
      </c>
      <c r="L251" s="12" t="s">
        <v>805</v>
      </c>
      <c r="M251" s="7">
        <v>30000000</v>
      </c>
      <c r="N251" s="12" t="str">
        <f t="shared" si="3"/>
        <v>NORMAL</v>
      </c>
      <c r="O251" t="str">
        <f>_xlfn.XLOOKUP(C251,[1]branches!$A$2:$A$11,[1]branches!$D$2:$D$11,"No apecified")</f>
        <v>North</v>
      </c>
    </row>
    <row r="252" spans="1:15" x14ac:dyDescent="0.3">
      <c r="A252" s="11" t="s">
        <v>451</v>
      </c>
      <c r="B252" s="11" t="s">
        <v>452</v>
      </c>
      <c r="C252" s="11" t="s">
        <v>50</v>
      </c>
      <c r="D252" s="11" t="s">
        <v>134</v>
      </c>
      <c r="E252" s="11" t="s">
        <v>39</v>
      </c>
      <c r="F252" s="5">
        <v>5000000</v>
      </c>
      <c r="G252" s="18">
        <v>0.22</v>
      </c>
      <c r="H252" s="14">
        <v>6</v>
      </c>
      <c r="I252" s="3">
        <v>45426</v>
      </c>
      <c r="J252" s="11" t="s">
        <v>33</v>
      </c>
      <c r="K252" s="12" t="s">
        <v>800</v>
      </c>
      <c r="L252" s="12" t="s">
        <v>819</v>
      </c>
      <c r="M252" s="7">
        <v>75000000</v>
      </c>
      <c r="N252" s="12" t="str">
        <f t="shared" si="3"/>
        <v>NORMAL</v>
      </c>
      <c r="O252" t="str">
        <f>_xlfn.XLOOKUP(C252,[1]branches!$A$2:$A$11,[1]branches!$D$2:$D$11,"No apecified")</f>
        <v>South-West</v>
      </c>
    </row>
    <row r="253" spans="1:15" x14ac:dyDescent="0.3">
      <c r="A253" s="13" t="s">
        <v>453</v>
      </c>
      <c r="B253" s="13" t="s">
        <v>227</v>
      </c>
      <c r="C253" s="13" t="s">
        <v>56</v>
      </c>
      <c r="D253" s="13" t="s">
        <v>74</v>
      </c>
      <c r="E253" s="13" t="s">
        <v>760</v>
      </c>
      <c r="F253" s="6">
        <v>10000000</v>
      </c>
      <c r="G253" s="19">
        <v>0.16</v>
      </c>
      <c r="H253" s="15">
        <v>36</v>
      </c>
      <c r="I253" s="4">
        <v>45387</v>
      </c>
      <c r="J253" s="13" t="s">
        <v>33</v>
      </c>
      <c r="K253" s="12" t="s">
        <v>801</v>
      </c>
      <c r="L253" s="12" t="s">
        <v>816</v>
      </c>
      <c r="M253" s="7">
        <v>30000000</v>
      </c>
      <c r="N253" s="12" t="str">
        <f t="shared" si="3"/>
        <v>NORMAL</v>
      </c>
      <c r="O253" t="str">
        <f>_xlfn.XLOOKUP(C253,[1]branches!$A$2:$A$11,[1]branches!$D$2:$D$11,"No apecified")</f>
        <v>South-West</v>
      </c>
    </row>
    <row r="254" spans="1:15" x14ac:dyDescent="0.3">
      <c r="A254" s="11" t="s">
        <v>454</v>
      </c>
      <c r="B254" s="11" t="s">
        <v>298</v>
      </c>
      <c r="C254" s="11" t="s">
        <v>42</v>
      </c>
      <c r="D254" s="11" t="s">
        <v>282</v>
      </c>
      <c r="E254" s="11" t="s">
        <v>81</v>
      </c>
      <c r="F254" s="5">
        <v>750000</v>
      </c>
      <c r="G254" s="18">
        <v>0.18</v>
      </c>
      <c r="H254" s="14">
        <v>12</v>
      </c>
      <c r="I254" s="3">
        <v>45556</v>
      </c>
      <c r="J254" s="11" t="s">
        <v>33</v>
      </c>
      <c r="K254" s="12" t="s">
        <v>798</v>
      </c>
      <c r="L254" s="12" t="s">
        <v>822</v>
      </c>
      <c r="M254" s="7">
        <v>50000000</v>
      </c>
      <c r="N254" s="12" t="str">
        <f t="shared" si="3"/>
        <v>NORMAL</v>
      </c>
      <c r="O254" t="str">
        <f>_xlfn.XLOOKUP(C254,[1]branches!$A$2:$A$11,[1]branches!$D$2:$D$11,"No apecified")</f>
        <v>North</v>
      </c>
    </row>
    <row r="255" spans="1:15" x14ac:dyDescent="0.3">
      <c r="A255" s="13" t="s">
        <v>455</v>
      </c>
      <c r="B255" s="13" t="s">
        <v>164</v>
      </c>
      <c r="C255" s="13" t="s">
        <v>26</v>
      </c>
      <c r="D255" s="13" t="s">
        <v>66</v>
      </c>
      <c r="E255" s="13" t="s">
        <v>760</v>
      </c>
      <c r="F255" s="6">
        <v>1000000</v>
      </c>
      <c r="G255" s="19">
        <v>0.16</v>
      </c>
      <c r="H255" s="15">
        <v>12</v>
      </c>
      <c r="I255" s="4">
        <v>45541</v>
      </c>
      <c r="J255" s="13" t="s">
        <v>19</v>
      </c>
      <c r="K255" s="12" t="s">
        <v>796</v>
      </c>
      <c r="L255" s="12" t="s">
        <v>814</v>
      </c>
      <c r="M255" s="7">
        <v>60000000</v>
      </c>
      <c r="N255" s="12" t="str">
        <f t="shared" si="3"/>
        <v>AT RISK</v>
      </c>
      <c r="O255" t="str">
        <f>_xlfn.XLOOKUP(C255,[1]branches!$A$2:$A$11,[1]branches!$D$2:$D$11,"No apecified")</f>
        <v>North</v>
      </c>
    </row>
    <row r="256" spans="1:15" x14ac:dyDescent="0.3">
      <c r="A256" s="11" t="s">
        <v>456</v>
      </c>
      <c r="B256" s="11" t="s">
        <v>246</v>
      </c>
      <c r="C256" s="11" t="s">
        <v>56</v>
      </c>
      <c r="D256" s="11" t="s">
        <v>57</v>
      </c>
      <c r="E256" s="11" t="s">
        <v>760</v>
      </c>
      <c r="F256" s="5">
        <v>750000</v>
      </c>
      <c r="G256" s="18">
        <v>0.24</v>
      </c>
      <c r="H256" s="14">
        <v>18</v>
      </c>
      <c r="I256" s="3">
        <v>45320</v>
      </c>
      <c r="J256" s="11" t="s">
        <v>14</v>
      </c>
      <c r="K256" s="12" t="s">
        <v>801</v>
      </c>
      <c r="L256" s="12" t="s">
        <v>812</v>
      </c>
      <c r="M256" s="7">
        <v>50000000</v>
      </c>
      <c r="N256" s="12" t="str">
        <f t="shared" si="3"/>
        <v>NORMAL</v>
      </c>
      <c r="O256" t="str">
        <f>_xlfn.XLOOKUP(C256,[1]branches!$A$2:$A$11,[1]branches!$D$2:$D$11,"No apecified")</f>
        <v>South-West</v>
      </c>
    </row>
    <row r="257" spans="1:15" x14ac:dyDescent="0.3">
      <c r="A257" s="13" t="s">
        <v>457</v>
      </c>
      <c r="B257" s="13" t="s">
        <v>458</v>
      </c>
      <c r="C257" s="13" t="s">
        <v>56</v>
      </c>
      <c r="D257" s="13" t="s">
        <v>74</v>
      </c>
      <c r="E257" s="13" t="s">
        <v>81</v>
      </c>
      <c r="F257" s="6">
        <v>7500000</v>
      </c>
      <c r="G257" s="19">
        <v>0.22</v>
      </c>
      <c r="H257" s="15">
        <v>24</v>
      </c>
      <c r="I257" s="4">
        <v>45623</v>
      </c>
      <c r="J257" s="13" t="s">
        <v>33</v>
      </c>
      <c r="K257" s="12" t="s">
        <v>801</v>
      </c>
      <c r="L257" s="12" t="s">
        <v>816</v>
      </c>
      <c r="M257" s="7">
        <v>30000000</v>
      </c>
      <c r="N257" s="12" t="str">
        <f t="shared" si="3"/>
        <v>NORMAL</v>
      </c>
      <c r="O257" t="str">
        <f>_xlfn.XLOOKUP(C257,[1]branches!$A$2:$A$11,[1]branches!$D$2:$D$11,"No apecified")</f>
        <v>South-West</v>
      </c>
    </row>
    <row r="258" spans="1:15" x14ac:dyDescent="0.3">
      <c r="A258" s="11" t="s">
        <v>459</v>
      </c>
      <c r="B258" s="11" t="s">
        <v>169</v>
      </c>
      <c r="C258" s="11" t="s">
        <v>36</v>
      </c>
      <c r="D258" s="11" t="s">
        <v>37</v>
      </c>
      <c r="E258" s="11" t="s">
        <v>39</v>
      </c>
      <c r="F258" s="5">
        <v>1500000</v>
      </c>
      <c r="G258" s="18">
        <v>0.22</v>
      </c>
      <c r="H258" s="14">
        <v>36</v>
      </c>
      <c r="I258" s="3">
        <v>45294</v>
      </c>
      <c r="J258" s="11" t="s">
        <v>33</v>
      </c>
      <c r="K258" s="12" t="s">
        <v>797</v>
      </c>
      <c r="L258" s="12" t="s">
        <v>808</v>
      </c>
      <c r="M258" s="7">
        <v>40000000</v>
      </c>
      <c r="N258" s="12" t="str">
        <f t="shared" ref="N258:N321" si="4">IF(AND(J258="Defaulted",F258&gt;2000000), "HIGH RISK", IF(J258="Defaulted", "AT RISK", "NORMAL"))</f>
        <v>NORMAL</v>
      </c>
      <c r="O258" t="str">
        <f>_xlfn.XLOOKUP(C258,[1]branches!$A$2:$A$11,[1]branches!$D$2:$D$11,"No apecified")</f>
        <v>South-South</v>
      </c>
    </row>
    <row r="259" spans="1:15" x14ac:dyDescent="0.3">
      <c r="A259" s="13" t="s">
        <v>460</v>
      </c>
      <c r="B259" s="13" t="s">
        <v>458</v>
      </c>
      <c r="C259" s="13" t="s">
        <v>56</v>
      </c>
      <c r="D259" s="13" t="s">
        <v>74</v>
      </c>
      <c r="E259" s="13" t="s">
        <v>39</v>
      </c>
      <c r="F259" s="6">
        <v>3000000</v>
      </c>
      <c r="G259" s="19">
        <v>0.22</v>
      </c>
      <c r="H259" s="15">
        <v>6</v>
      </c>
      <c r="I259" s="4">
        <v>45616</v>
      </c>
      <c r="J259" s="13" t="s">
        <v>14</v>
      </c>
      <c r="K259" s="12" t="s">
        <v>801</v>
      </c>
      <c r="L259" s="12" t="s">
        <v>816</v>
      </c>
      <c r="M259" s="7">
        <v>30000000</v>
      </c>
      <c r="N259" s="12" t="str">
        <f t="shared" si="4"/>
        <v>NORMAL</v>
      </c>
      <c r="O259" t="str">
        <f>_xlfn.XLOOKUP(C259,[1]branches!$A$2:$A$11,[1]branches!$D$2:$D$11,"No apecified")</f>
        <v>South-West</v>
      </c>
    </row>
    <row r="260" spans="1:15" x14ac:dyDescent="0.3">
      <c r="A260" s="11" t="s">
        <v>461</v>
      </c>
      <c r="B260" s="11" t="s">
        <v>462</v>
      </c>
      <c r="C260" s="11" t="s">
        <v>56</v>
      </c>
      <c r="D260" s="11" t="s">
        <v>74</v>
      </c>
      <c r="E260" s="11" t="s">
        <v>39</v>
      </c>
      <c r="F260" s="5">
        <v>7500000</v>
      </c>
      <c r="G260" s="18">
        <v>0.24</v>
      </c>
      <c r="H260" s="14">
        <v>24</v>
      </c>
      <c r="I260" s="3">
        <v>45389</v>
      </c>
      <c r="J260" s="11" t="s">
        <v>14</v>
      </c>
      <c r="K260" s="12" t="s">
        <v>801</v>
      </c>
      <c r="L260" s="12" t="s">
        <v>816</v>
      </c>
      <c r="M260" s="7">
        <v>30000000</v>
      </c>
      <c r="N260" s="12" t="str">
        <f t="shared" si="4"/>
        <v>NORMAL</v>
      </c>
      <c r="O260" t="str">
        <f>_xlfn.XLOOKUP(C260,[1]branches!$A$2:$A$11,[1]branches!$D$2:$D$11,"No apecified")</f>
        <v>South-West</v>
      </c>
    </row>
    <row r="261" spans="1:15" x14ac:dyDescent="0.3">
      <c r="A261" s="13" t="s">
        <v>463</v>
      </c>
      <c r="B261" s="13" t="s">
        <v>464</v>
      </c>
      <c r="C261" s="13" t="s">
        <v>42</v>
      </c>
      <c r="D261" s="13" t="s">
        <v>43</v>
      </c>
      <c r="E261" s="13" t="s">
        <v>39</v>
      </c>
      <c r="F261" s="6">
        <v>5000000</v>
      </c>
      <c r="G261" s="19">
        <v>0.24</v>
      </c>
      <c r="H261" s="15">
        <v>12</v>
      </c>
      <c r="I261" s="4">
        <v>45500</v>
      </c>
      <c r="J261" s="13" t="s">
        <v>19</v>
      </c>
      <c r="K261" s="12" t="s">
        <v>798</v>
      </c>
      <c r="L261" s="12" t="s">
        <v>809</v>
      </c>
      <c r="M261" s="7">
        <v>40000000</v>
      </c>
      <c r="N261" s="12" t="str">
        <f t="shared" si="4"/>
        <v>HIGH RISK</v>
      </c>
      <c r="O261" t="str">
        <f>_xlfn.XLOOKUP(C261,[1]branches!$A$2:$A$11,[1]branches!$D$2:$D$11,"No apecified")</f>
        <v>North</v>
      </c>
    </row>
    <row r="262" spans="1:15" x14ac:dyDescent="0.3">
      <c r="A262" s="11" t="s">
        <v>465</v>
      </c>
      <c r="B262" s="11" t="s">
        <v>308</v>
      </c>
      <c r="C262" s="11" t="s">
        <v>60</v>
      </c>
      <c r="D262" s="11" t="s">
        <v>69</v>
      </c>
      <c r="E262" s="11" t="s">
        <v>81</v>
      </c>
      <c r="F262" s="5">
        <v>1500000</v>
      </c>
      <c r="G262" s="18">
        <v>0.24</v>
      </c>
      <c r="H262" s="14">
        <v>6</v>
      </c>
      <c r="I262" s="3">
        <v>45448</v>
      </c>
      <c r="J262" s="11" t="s">
        <v>33</v>
      </c>
      <c r="K262" s="12" t="s">
        <v>802</v>
      </c>
      <c r="L262" s="12" t="s">
        <v>815</v>
      </c>
      <c r="M262" s="7">
        <v>75000000</v>
      </c>
      <c r="N262" s="12" t="str">
        <f t="shared" si="4"/>
        <v>NORMAL</v>
      </c>
      <c r="O262" t="str">
        <f>_xlfn.XLOOKUP(C262,[1]branches!$A$2:$A$11,[1]branches!$D$2:$D$11,"No apecified")</f>
        <v>North</v>
      </c>
    </row>
    <row r="263" spans="1:15" x14ac:dyDescent="0.3">
      <c r="A263" s="13" t="s">
        <v>466</v>
      </c>
      <c r="B263" s="13" t="s">
        <v>188</v>
      </c>
      <c r="C263" s="13" t="s">
        <v>22</v>
      </c>
      <c r="D263" s="13" t="s">
        <v>30</v>
      </c>
      <c r="E263" s="13" t="s">
        <v>760</v>
      </c>
      <c r="F263" s="6">
        <v>500000</v>
      </c>
      <c r="G263" s="19">
        <v>0.18</v>
      </c>
      <c r="H263" s="15">
        <v>36</v>
      </c>
      <c r="I263" s="4">
        <v>45595</v>
      </c>
      <c r="J263" s="13" t="s">
        <v>14</v>
      </c>
      <c r="K263" s="12" t="s">
        <v>795</v>
      </c>
      <c r="L263" s="12" t="s">
        <v>807</v>
      </c>
      <c r="M263" s="7">
        <v>30000000</v>
      </c>
      <c r="N263" s="12" t="str">
        <f t="shared" si="4"/>
        <v>NORMAL</v>
      </c>
      <c r="O263" t="str">
        <f>_xlfn.XLOOKUP(C263,[1]branches!$A$2:$A$11,[1]branches!$D$2:$D$11,"No apecified")</f>
        <v>North</v>
      </c>
    </row>
    <row r="264" spans="1:15" x14ac:dyDescent="0.3">
      <c r="A264" s="11" t="s">
        <v>467</v>
      </c>
      <c r="B264" s="11" t="s">
        <v>129</v>
      </c>
      <c r="C264" s="11" t="s">
        <v>60</v>
      </c>
      <c r="D264" s="11" t="s">
        <v>69</v>
      </c>
      <c r="E264" s="11" t="s">
        <v>81</v>
      </c>
      <c r="F264" s="5">
        <v>750000</v>
      </c>
      <c r="G264" s="18">
        <v>0.22</v>
      </c>
      <c r="H264" s="14">
        <v>12</v>
      </c>
      <c r="I264" s="3">
        <v>45347</v>
      </c>
      <c r="J264" s="11" t="s">
        <v>14</v>
      </c>
      <c r="K264" s="12" t="s">
        <v>802</v>
      </c>
      <c r="L264" s="12" t="s">
        <v>815</v>
      </c>
      <c r="M264" s="7">
        <v>75000000</v>
      </c>
      <c r="N264" s="12" t="str">
        <f t="shared" si="4"/>
        <v>NORMAL</v>
      </c>
      <c r="O264" t="str">
        <f>_xlfn.XLOOKUP(C264,[1]branches!$A$2:$A$11,[1]branches!$D$2:$D$11,"No apecified")</f>
        <v>North</v>
      </c>
    </row>
    <row r="265" spans="1:15" x14ac:dyDescent="0.3">
      <c r="A265" s="13" t="s">
        <v>468</v>
      </c>
      <c r="B265" s="13" t="s">
        <v>332</v>
      </c>
      <c r="C265" s="13" t="s">
        <v>42</v>
      </c>
      <c r="D265" s="13" t="s">
        <v>43</v>
      </c>
      <c r="E265" s="13" t="s">
        <v>39</v>
      </c>
      <c r="F265" s="6">
        <v>750000</v>
      </c>
      <c r="G265" s="19">
        <v>0.22</v>
      </c>
      <c r="H265" s="15">
        <v>12</v>
      </c>
      <c r="I265" s="4">
        <v>45339</v>
      </c>
      <c r="J265" s="13" t="s">
        <v>14</v>
      </c>
      <c r="K265" s="12" t="s">
        <v>798</v>
      </c>
      <c r="L265" s="12" t="s">
        <v>809</v>
      </c>
      <c r="M265" s="7">
        <v>40000000</v>
      </c>
      <c r="N265" s="12" t="str">
        <f t="shared" si="4"/>
        <v>NORMAL</v>
      </c>
      <c r="O265" t="str">
        <f>_xlfn.XLOOKUP(C265,[1]branches!$A$2:$A$11,[1]branches!$D$2:$D$11,"No apecified")</f>
        <v>North</v>
      </c>
    </row>
    <row r="266" spans="1:15" x14ac:dyDescent="0.3">
      <c r="A266" s="11" t="s">
        <v>469</v>
      </c>
      <c r="B266" s="11" t="s">
        <v>470</v>
      </c>
      <c r="C266" s="11" t="s">
        <v>42</v>
      </c>
      <c r="D266" s="11" t="s">
        <v>282</v>
      </c>
      <c r="E266" s="11" t="s">
        <v>81</v>
      </c>
      <c r="F266" s="5">
        <v>10000000</v>
      </c>
      <c r="G266" s="18">
        <v>0.24</v>
      </c>
      <c r="H266" s="14">
        <v>12</v>
      </c>
      <c r="I266" s="3">
        <v>45522</v>
      </c>
      <c r="J266" s="11" t="s">
        <v>33</v>
      </c>
      <c r="K266" s="12" t="s">
        <v>798</v>
      </c>
      <c r="L266" s="12" t="s">
        <v>822</v>
      </c>
      <c r="M266" s="7">
        <v>50000000</v>
      </c>
      <c r="N266" s="12" t="str">
        <f t="shared" si="4"/>
        <v>NORMAL</v>
      </c>
      <c r="O266" t="str">
        <f>_xlfn.XLOOKUP(C266,[1]branches!$A$2:$A$11,[1]branches!$D$2:$D$11,"No apecified")</f>
        <v>North</v>
      </c>
    </row>
    <row r="267" spans="1:15" x14ac:dyDescent="0.3">
      <c r="A267" s="13" t="s">
        <v>471</v>
      </c>
      <c r="B267" s="13" t="s">
        <v>209</v>
      </c>
      <c r="C267" s="13" t="s">
        <v>56</v>
      </c>
      <c r="D267" s="13" t="s">
        <v>57</v>
      </c>
      <c r="E267" s="13" t="s">
        <v>39</v>
      </c>
      <c r="F267" s="6">
        <v>5000000</v>
      </c>
      <c r="G267" s="19">
        <v>0.22</v>
      </c>
      <c r="H267" s="15">
        <v>18</v>
      </c>
      <c r="I267" s="4">
        <v>45504</v>
      </c>
      <c r="J267" s="13" t="s">
        <v>14</v>
      </c>
      <c r="K267" s="12" t="s">
        <v>801</v>
      </c>
      <c r="L267" s="12" t="s">
        <v>812</v>
      </c>
      <c r="M267" s="7">
        <v>50000000</v>
      </c>
      <c r="N267" s="12" t="str">
        <f t="shared" si="4"/>
        <v>NORMAL</v>
      </c>
      <c r="O267" t="str">
        <f>_xlfn.XLOOKUP(C267,[1]branches!$A$2:$A$11,[1]branches!$D$2:$D$11,"No apecified")</f>
        <v>South-West</v>
      </c>
    </row>
    <row r="268" spans="1:15" x14ac:dyDescent="0.3">
      <c r="A268" s="11" t="s">
        <v>472</v>
      </c>
      <c r="B268" s="11" t="s">
        <v>428</v>
      </c>
      <c r="C268" s="11" t="s">
        <v>36</v>
      </c>
      <c r="D268" s="11" t="s">
        <v>37</v>
      </c>
      <c r="E268" s="11" t="s">
        <v>760</v>
      </c>
      <c r="F268" s="5">
        <v>5000000</v>
      </c>
      <c r="G268" s="18">
        <v>0.2</v>
      </c>
      <c r="H268" s="14">
        <v>18</v>
      </c>
      <c r="I268" s="3">
        <v>45526</v>
      </c>
      <c r="J268" s="11" t="s">
        <v>14</v>
      </c>
      <c r="K268" s="12" t="s">
        <v>797</v>
      </c>
      <c r="L268" s="12" t="s">
        <v>808</v>
      </c>
      <c r="M268" s="7">
        <v>40000000</v>
      </c>
      <c r="N268" s="12" t="str">
        <f t="shared" si="4"/>
        <v>NORMAL</v>
      </c>
      <c r="O268" t="str">
        <f>_xlfn.XLOOKUP(C268,[1]branches!$A$2:$A$11,[1]branches!$D$2:$D$11,"No apecified")</f>
        <v>South-South</v>
      </c>
    </row>
    <row r="269" spans="1:15" x14ac:dyDescent="0.3">
      <c r="A269" s="13" t="s">
        <v>473</v>
      </c>
      <c r="B269" s="13" t="s">
        <v>175</v>
      </c>
      <c r="C269" s="13" t="s">
        <v>50</v>
      </c>
      <c r="D269" s="13" t="s">
        <v>51</v>
      </c>
      <c r="E269" s="13" t="s">
        <v>39</v>
      </c>
      <c r="F269" s="6">
        <v>3000000</v>
      </c>
      <c r="G269" s="19">
        <v>0.18</v>
      </c>
      <c r="H269" s="15">
        <v>18</v>
      </c>
      <c r="I269" s="4">
        <v>45588</v>
      </c>
      <c r="J269" s="13" t="s">
        <v>33</v>
      </c>
      <c r="K269" s="12" t="s">
        <v>800</v>
      </c>
      <c r="L269" s="12" t="s">
        <v>811</v>
      </c>
      <c r="M269" s="7">
        <v>75000000</v>
      </c>
      <c r="N269" s="12" t="str">
        <f t="shared" si="4"/>
        <v>NORMAL</v>
      </c>
      <c r="O269" t="str">
        <f>_xlfn.XLOOKUP(C269,[1]branches!$A$2:$A$11,[1]branches!$D$2:$D$11,"No apecified")</f>
        <v>South-West</v>
      </c>
    </row>
    <row r="270" spans="1:15" x14ac:dyDescent="0.3">
      <c r="A270" s="11" t="s">
        <v>474</v>
      </c>
      <c r="B270" s="11" t="s">
        <v>344</v>
      </c>
      <c r="C270" s="11" t="s">
        <v>22</v>
      </c>
      <c r="D270" s="11" t="s">
        <v>30</v>
      </c>
      <c r="E270" s="11" t="s">
        <v>39</v>
      </c>
      <c r="F270" s="5">
        <v>5000000</v>
      </c>
      <c r="G270" s="18">
        <v>0.18</v>
      </c>
      <c r="H270" s="14">
        <v>12</v>
      </c>
      <c r="I270" s="3">
        <v>45325</v>
      </c>
      <c r="J270" s="11" t="s">
        <v>19</v>
      </c>
      <c r="K270" s="12" t="s">
        <v>795</v>
      </c>
      <c r="L270" s="12" t="s">
        <v>807</v>
      </c>
      <c r="M270" s="7">
        <v>30000000</v>
      </c>
      <c r="N270" s="12" t="str">
        <f t="shared" si="4"/>
        <v>HIGH RISK</v>
      </c>
      <c r="O270" t="str">
        <f>_xlfn.XLOOKUP(C270,[1]branches!$A$2:$A$11,[1]branches!$D$2:$D$11,"No apecified")</f>
        <v>North</v>
      </c>
    </row>
    <row r="271" spans="1:15" x14ac:dyDescent="0.3">
      <c r="A271" s="13" t="s">
        <v>475</v>
      </c>
      <c r="B271" s="13" t="s">
        <v>285</v>
      </c>
      <c r="C271" s="13" t="s">
        <v>17</v>
      </c>
      <c r="D271" s="13" t="s">
        <v>18</v>
      </c>
      <c r="E271" s="13" t="s">
        <v>39</v>
      </c>
      <c r="F271" s="6">
        <v>3000000</v>
      </c>
      <c r="G271" s="19">
        <v>0.16</v>
      </c>
      <c r="H271" s="15">
        <v>6</v>
      </c>
      <c r="I271" s="4">
        <v>45332</v>
      </c>
      <c r="J271" s="13" t="s">
        <v>14</v>
      </c>
      <c r="K271" s="12" t="s">
        <v>794</v>
      </c>
      <c r="L271" s="12" t="s">
        <v>804</v>
      </c>
      <c r="M271" s="7">
        <v>75000000</v>
      </c>
      <c r="N271" s="12" t="str">
        <f t="shared" si="4"/>
        <v>NORMAL</v>
      </c>
      <c r="O271" t="str">
        <f>_xlfn.XLOOKUP(C271,[1]branches!$A$2:$A$11,[1]branches!$D$2:$D$11,"No apecified")</f>
        <v>South-South</v>
      </c>
    </row>
    <row r="272" spans="1:15" x14ac:dyDescent="0.3">
      <c r="A272" s="11" t="s">
        <v>476</v>
      </c>
      <c r="B272" s="11" t="s">
        <v>171</v>
      </c>
      <c r="C272" s="11" t="s">
        <v>60</v>
      </c>
      <c r="D272" s="11" t="s">
        <v>61</v>
      </c>
      <c r="E272" s="11" t="s">
        <v>39</v>
      </c>
      <c r="F272" s="5">
        <v>5000000</v>
      </c>
      <c r="G272" s="18">
        <v>0.24</v>
      </c>
      <c r="H272" s="14">
        <v>12</v>
      </c>
      <c r="I272" s="3">
        <v>45505</v>
      </c>
      <c r="J272" s="11" t="s">
        <v>33</v>
      </c>
      <c r="K272" s="12" t="s">
        <v>802</v>
      </c>
      <c r="L272" s="12" t="s">
        <v>813</v>
      </c>
      <c r="M272" s="7">
        <v>75000000</v>
      </c>
      <c r="N272" s="12" t="str">
        <f t="shared" si="4"/>
        <v>NORMAL</v>
      </c>
      <c r="O272" t="str">
        <f>_xlfn.XLOOKUP(C272,[1]branches!$A$2:$A$11,[1]branches!$D$2:$D$11,"No apecified")</f>
        <v>North</v>
      </c>
    </row>
    <row r="273" spans="1:15" x14ac:dyDescent="0.3">
      <c r="A273" s="13" t="s">
        <v>477</v>
      </c>
      <c r="B273" s="13" t="s">
        <v>478</v>
      </c>
      <c r="C273" s="13" t="s">
        <v>50</v>
      </c>
      <c r="D273" s="13" t="s">
        <v>51</v>
      </c>
      <c r="E273" s="13" t="s">
        <v>81</v>
      </c>
      <c r="F273" s="6">
        <v>1000000</v>
      </c>
      <c r="G273" s="19">
        <v>0.24</v>
      </c>
      <c r="H273" s="15">
        <v>18</v>
      </c>
      <c r="I273" s="4">
        <v>45425</v>
      </c>
      <c r="J273" s="13" t="s">
        <v>33</v>
      </c>
      <c r="K273" s="12" t="s">
        <v>800</v>
      </c>
      <c r="L273" s="12" t="s">
        <v>811</v>
      </c>
      <c r="M273" s="7">
        <v>75000000</v>
      </c>
      <c r="N273" s="12" t="str">
        <f t="shared" si="4"/>
        <v>NORMAL</v>
      </c>
      <c r="O273" t="str">
        <f>_xlfn.XLOOKUP(C273,[1]branches!$A$2:$A$11,[1]branches!$D$2:$D$11,"No apecified")</f>
        <v>South-West</v>
      </c>
    </row>
    <row r="274" spans="1:15" x14ac:dyDescent="0.3">
      <c r="A274" s="11" t="s">
        <v>479</v>
      </c>
      <c r="B274" s="11" t="s">
        <v>229</v>
      </c>
      <c r="C274" s="11" t="s">
        <v>60</v>
      </c>
      <c r="D274" s="11" t="s">
        <v>69</v>
      </c>
      <c r="E274" s="11" t="s">
        <v>81</v>
      </c>
      <c r="F274" s="5">
        <v>1000000</v>
      </c>
      <c r="G274" s="18">
        <v>0.18</v>
      </c>
      <c r="H274" s="14">
        <v>24</v>
      </c>
      <c r="I274" s="3">
        <v>45296</v>
      </c>
      <c r="J274" s="11" t="s">
        <v>14</v>
      </c>
      <c r="K274" s="12" t="s">
        <v>802</v>
      </c>
      <c r="L274" s="12" t="s">
        <v>815</v>
      </c>
      <c r="M274" s="7">
        <v>75000000</v>
      </c>
      <c r="N274" s="12" t="str">
        <f t="shared" si="4"/>
        <v>NORMAL</v>
      </c>
      <c r="O274" t="str">
        <f>_xlfn.XLOOKUP(C274,[1]branches!$A$2:$A$11,[1]branches!$D$2:$D$11,"No apecified")</f>
        <v>North</v>
      </c>
    </row>
    <row r="275" spans="1:15" x14ac:dyDescent="0.3">
      <c r="A275" s="13" t="s">
        <v>480</v>
      </c>
      <c r="B275" s="13" t="s">
        <v>481</v>
      </c>
      <c r="C275" s="13" t="s">
        <v>46</v>
      </c>
      <c r="D275" s="13" t="s">
        <v>47</v>
      </c>
      <c r="E275" s="13" t="s">
        <v>39</v>
      </c>
      <c r="F275" s="6">
        <v>5000000</v>
      </c>
      <c r="G275" s="19">
        <v>0.18</v>
      </c>
      <c r="H275" s="15">
        <v>12</v>
      </c>
      <c r="I275" s="4">
        <v>45413</v>
      </c>
      <c r="J275" s="13" t="s">
        <v>14</v>
      </c>
      <c r="K275" s="12" t="s">
        <v>799</v>
      </c>
      <c r="L275" s="12" t="s">
        <v>810</v>
      </c>
      <c r="M275" s="7">
        <v>30000000</v>
      </c>
      <c r="N275" s="12" t="str">
        <f t="shared" si="4"/>
        <v>NORMAL</v>
      </c>
      <c r="O275" t="str">
        <f>_xlfn.XLOOKUP(C275,[1]branches!$A$2:$A$11,[1]branches!$D$2:$D$11,"No apecified")</f>
        <v>South-West</v>
      </c>
    </row>
    <row r="276" spans="1:15" x14ac:dyDescent="0.3">
      <c r="A276" s="11" t="s">
        <v>482</v>
      </c>
      <c r="B276" s="11" t="s">
        <v>180</v>
      </c>
      <c r="C276" s="11" t="s">
        <v>46</v>
      </c>
      <c r="D276" s="11" t="s">
        <v>96</v>
      </c>
      <c r="E276" s="11" t="s">
        <v>81</v>
      </c>
      <c r="F276" s="5">
        <v>5000000</v>
      </c>
      <c r="G276" s="18">
        <v>0.24</v>
      </c>
      <c r="H276" s="14">
        <v>18</v>
      </c>
      <c r="I276" s="3">
        <v>45469</v>
      </c>
      <c r="J276" s="11" t="s">
        <v>33</v>
      </c>
      <c r="K276" s="12" t="s">
        <v>799</v>
      </c>
      <c r="L276" s="12" t="s">
        <v>817</v>
      </c>
      <c r="M276" s="7">
        <v>40000000</v>
      </c>
      <c r="N276" s="12" t="str">
        <f t="shared" si="4"/>
        <v>NORMAL</v>
      </c>
      <c r="O276" t="str">
        <f>_xlfn.XLOOKUP(C276,[1]branches!$A$2:$A$11,[1]branches!$D$2:$D$11,"No apecified")</f>
        <v>South-West</v>
      </c>
    </row>
    <row r="277" spans="1:15" x14ac:dyDescent="0.3">
      <c r="A277" s="13" t="s">
        <v>483</v>
      </c>
      <c r="B277" s="13" t="s">
        <v>484</v>
      </c>
      <c r="C277" s="13" t="s">
        <v>17</v>
      </c>
      <c r="D277" s="13" t="s">
        <v>18</v>
      </c>
      <c r="E277" s="13" t="s">
        <v>760</v>
      </c>
      <c r="F277" s="6">
        <v>2000000</v>
      </c>
      <c r="G277" s="19">
        <v>0.24</v>
      </c>
      <c r="H277" s="15">
        <v>36</v>
      </c>
      <c r="I277" s="4">
        <v>45475</v>
      </c>
      <c r="J277" s="13" t="s">
        <v>14</v>
      </c>
      <c r="K277" s="12" t="s">
        <v>794</v>
      </c>
      <c r="L277" s="12" t="s">
        <v>804</v>
      </c>
      <c r="M277" s="7">
        <v>75000000</v>
      </c>
      <c r="N277" s="12" t="str">
        <f t="shared" si="4"/>
        <v>NORMAL</v>
      </c>
      <c r="O277" t="str">
        <f>_xlfn.XLOOKUP(C277,[1]branches!$A$2:$A$11,[1]branches!$D$2:$D$11,"No apecified")</f>
        <v>South-South</v>
      </c>
    </row>
    <row r="278" spans="1:15" x14ac:dyDescent="0.3">
      <c r="A278" s="11" t="s">
        <v>485</v>
      </c>
      <c r="B278" s="11" t="s">
        <v>346</v>
      </c>
      <c r="C278" s="11" t="s">
        <v>22</v>
      </c>
      <c r="D278" s="11" t="s">
        <v>23</v>
      </c>
      <c r="E278" s="11" t="s">
        <v>760</v>
      </c>
      <c r="F278" s="5">
        <v>7500000</v>
      </c>
      <c r="G278" s="18">
        <v>0.18</v>
      </c>
      <c r="H278" s="14">
        <v>18</v>
      </c>
      <c r="I278" s="3">
        <v>45522</v>
      </c>
      <c r="J278" s="11" t="s">
        <v>19</v>
      </c>
      <c r="K278" s="12" t="s">
        <v>795</v>
      </c>
      <c r="L278" s="12" t="s">
        <v>805</v>
      </c>
      <c r="M278" s="7">
        <v>30000000</v>
      </c>
      <c r="N278" s="12" t="str">
        <f t="shared" si="4"/>
        <v>HIGH RISK</v>
      </c>
      <c r="O278" t="str">
        <f>_xlfn.XLOOKUP(C278,[1]branches!$A$2:$A$11,[1]branches!$D$2:$D$11,"No apecified")</f>
        <v>North</v>
      </c>
    </row>
    <row r="279" spans="1:15" x14ac:dyDescent="0.3">
      <c r="A279" s="13" t="s">
        <v>486</v>
      </c>
      <c r="B279" s="13" t="s">
        <v>487</v>
      </c>
      <c r="C279" s="13" t="s">
        <v>56</v>
      </c>
      <c r="D279" s="13" t="s">
        <v>74</v>
      </c>
      <c r="E279" s="13" t="s">
        <v>760</v>
      </c>
      <c r="F279" s="6">
        <v>10000000</v>
      </c>
      <c r="G279" s="19">
        <v>0.24</v>
      </c>
      <c r="H279" s="15">
        <v>18</v>
      </c>
      <c r="I279" s="4">
        <v>45646</v>
      </c>
      <c r="J279" s="13" t="s">
        <v>19</v>
      </c>
      <c r="K279" s="12" t="s">
        <v>801</v>
      </c>
      <c r="L279" s="12" t="s">
        <v>816</v>
      </c>
      <c r="M279" s="7">
        <v>30000000</v>
      </c>
      <c r="N279" s="12" t="str">
        <f t="shared" si="4"/>
        <v>HIGH RISK</v>
      </c>
      <c r="O279" t="str">
        <f>_xlfn.XLOOKUP(C279,[1]branches!$A$2:$A$11,[1]branches!$D$2:$D$11,"No apecified")</f>
        <v>South-West</v>
      </c>
    </row>
    <row r="280" spans="1:15" x14ac:dyDescent="0.3">
      <c r="A280" s="11" t="s">
        <v>488</v>
      </c>
      <c r="B280" s="11" t="s">
        <v>342</v>
      </c>
      <c r="C280" s="11" t="s">
        <v>36</v>
      </c>
      <c r="D280" s="11" t="s">
        <v>121</v>
      </c>
      <c r="E280" s="11" t="s">
        <v>81</v>
      </c>
      <c r="F280" s="5">
        <v>500000</v>
      </c>
      <c r="G280" s="18">
        <v>0.22</v>
      </c>
      <c r="H280" s="14">
        <v>6</v>
      </c>
      <c r="I280" s="3">
        <v>45554</v>
      </c>
      <c r="J280" s="11" t="s">
        <v>14</v>
      </c>
      <c r="K280" s="12" t="s">
        <v>797</v>
      </c>
      <c r="L280" s="12" t="s">
        <v>818</v>
      </c>
      <c r="M280" s="7">
        <v>30000000</v>
      </c>
      <c r="N280" s="12" t="str">
        <f t="shared" si="4"/>
        <v>NORMAL</v>
      </c>
      <c r="O280" t="str">
        <f>_xlfn.XLOOKUP(C280,[1]branches!$A$2:$A$11,[1]branches!$D$2:$D$11,"No apecified")</f>
        <v>South-South</v>
      </c>
    </row>
    <row r="281" spans="1:15" x14ac:dyDescent="0.3">
      <c r="A281" s="13" t="s">
        <v>489</v>
      </c>
      <c r="B281" s="13" t="s">
        <v>63</v>
      </c>
      <c r="C281" s="13" t="s">
        <v>50</v>
      </c>
      <c r="D281" s="13" t="s">
        <v>51</v>
      </c>
      <c r="E281" s="13" t="s">
        <v>39</v>
      </c>
      <c r="F281" s="6">
        <v>750000</v>
      </c>
      <c r="G281" s="19">
        <v>0.24</v>
      </c>
      <c r="H281" s="15">
        <v>24</v>
      </c>
      <c r="I281" s="4">
        <v>45368</v>
      </c>
      <c r="J281" s="13" t="s">
        <v>14</v>
      </c>
      <c r="K281" s="12" t="s">
        <v>800</v>
      </c>
      <c r="L281" s="12" t="s">
        <v>811</v>
      </c>
      <c r="M281" s="7">
        <v>75000000</v>
      </c>
      <c r="N281" s="12" t="str">
        <f t="shared" si="4"/>
        <v>NORMAL</v>
      </c>
      <c r="O281" t="str">
        <f>_xlfn.XLOOKUP(C281,[1]branches!$A$2:$A$11,[1]branches!$D$2:$D$11,"No apecified")</f>
        <v>South-West</v>
      </c>
    </row>
    <row r="282" spans="1:15" x14ac:dyDescent="0.3">
      <c r="A282" s="11" t="s">
        <v>490</v>
      </c>
      <c r="B282" s="11" t="s">
        <v>166</v>
      </c>
      <c r="C282" s="11" t="s">
        <v>42</v>
      </c>
      <c r="D282" s="11" t="s">
        <v>43</v>
      </c>
      <c r="E282" s="11" t="s">
        <v>81</v>
      </c>
      <c r="F282" s="5">
        <v>750000</v>
      </c>
      <c r="G282" s="18">
        <v>0.22</v>
      </c>
      <c r="H282" s="14">
        <v>12</v>
      </c>
      <c r="I282" s="3">
        <v>45484</v>
      </c>
      <c r="J282" s="11" t="s">
        <v>33</v>
      </c>
      <c r="K282" s="12" t="s">
        <v>798</v>
      </c>
      <c r="L282" s="12" t="s">
        <v>809</v>
      </c>
      <c r="M282" s="7">
        <v>40000000</v>
      </c>
      <c r="N282" s="12" t="str">
        <f t="shared" si="4"/>
        <v>NORMAL</v>
      </c>
      <c r="O282" t="str">
        <f>_xlfn.XLOOKUP(C282,[1]branches!$A$2:$A$11,[1]branches!$D$2:$D$11,"No apecified")</f>
        <v>North</v>
      </c>
    </row>
    <row r="283" spans="1:15" x14ac:dyDescent="0.3">
      <c r="A283" s="13" t="s">
        <v>491</v>
      </c>
      <c r="B283" s="13" t="s">
        <v>492</v>
      </c>
      <c r="C283" s="13" t="s">
        <v>17</v>
      </c>
      <c r="D283" s="13" t="s">
        <v>148</v>
      </c>
      <c r="E283" s="13" t="s">
        <v>760</v>
      </c>
      <c r="F283" s="6">
        <v>2000000</v>
      </c>
      <c r="G283" s="19">
        <v>0.16</v>
      </c>
      <c r="H283" s="15">
        <v>18</v>
      </c>
      <c r="I283" s="4">
        <v>45323</v>
      </c>
      <c r="J283" s="13" t="s">
        <v>33</v>
      </c>
      <c r="K283" s="12" t="s">
        <v>794</v>
      </c>
      <c r="L283" s="12" t="s">
        <v>821</v>
      </c>
      <c r="M283" s="7">
        <v>40000000</v>
      </c>
      <c r="N283" s="12" t="str">
        <f t="shared" si="4"/>
        <v>NORMAL</v>
      </c>
      <c r="O283" t="str">
        <f>_xlfn.XLOOKUP(C283,[1]branches!$A$2:$A$11,[1]branches!$D$2:$D$11,"No apecified")</f>
        <v>South-South</v>
      </c>
    </row>
    <row r="284" spans="1:15" x14ac:dyDescent="0.3">
      <c r="A284" s="11" t="s">
        <v>493</v>
      </c>
      <c r="B284" s="11" t="s">
        <v>53</v>
      </c>
      <c r="C284" s="11" t="s">
        <v>36</v>
      </c>
      <c r="D284" s="11" t="s">
        <v>37</v>
      </c>
      <c r="E284" s="11" t="s">
        <v>39</v>
      </c>
      <c r="F284" s="5">
        <v>5000000</v>
      </c>
      <c r="G284" s="18">
        <v>0.18</v>
      </c>
      <c r="H284" s="14">
        <v>12</v>
      </c>
      <c r="I284" s="3">
        <v>45400</v>
      </c>
      <c r="J284" s="11" t="s">
        <v>14</v>
      </c>
      <c r="K284" s="12" t="s">
        <v>797</v>
      </c>
      <c r="L284" s="12" t="s">
        <v>808</v>
      </c>
      <c r="M284" s="7">
        <v>40000000</v>
      </c>
      <c r="N284" s="12" t="str">
        <f t="shared" si="4"/>
        <v>NORMAL</v>
      </c>
      <c r="O284" t="str">
        <f>_xlfn.XLOOKUP(C284,[1]branches!$A$2:$A$11,[1]branches!$D$2:$D$11,"No apecified")</f>
        <v>South-South</v>
      </c>
    </row>
    <row r="285" spans="1:15" x14ac:dyDescent="0.3">
      <c r="A285" s="13" t="s">
        <v>494</v>
      </c>
      <c r="B285" s="13" t="s">
        <v>495</v>
      </c>
      <c r="C285" s="13" t="s">
        <v>60</v>
      </c>
      <c r="D285" s="13" t="s">
        <v>61</v>
      </c>
      <c r="E285" s="13" t="s">
        <v>81</v>
      </c>
      <c r="F285" s="6">
        <v>2000000</v>
      </c>
      <c r="G285" s="19">
        <v>0.24</v>
      </c>
      <c r="H285" s="15">
        <v>12</v>
      </c>
      <c r="I285" s="4">
        <v>45581</v>
      </c>
      <c r="J285" s="13" t="s">
        <v>14</v>
      </c>
      <c r="K285" s="12" t="s">
        <v>802</v>
      </c>
      <c r="L285" s="12" t="s">
        <v>813</v>
      </c>
      <c r="M285" s="7">
        <v>75000000</v>
      </c>
      <c r="N285" s="12" t="str">
        <f t="shared" si="4"/>
        <v>NORMAL</v>
      </c>
      <c r="O285" t="str">
        <f>_xlfn.XLOOKUP(C285,[1]branches!$A$2:$A$11,[1]branches!$D$2:$D$11,"No apecified")</f>
        <v>North</v>
      </c>
    </row>
    <row r="286" spans="1:15" x14ac:dyDescent="0.3">
      <c r="A286" s="11" t="s">
        <v>496</v>
      </c>
      <c r="B286" s="11" t="s">
        <v>406</v>
      </c>
      <c r="C286" s="11" t="s">
        <v>26</v>
      </c>
      <c r="D286" s="11" t="s">
        <v>27</v>
      </c>
      <c r="E286" s="11" t="s">
        <v>81</v>
      </c>
      <c r="F286" s="5">
        <v>3000000</v>
      </c>
      <c r="G286" s="18">
        <v>0.18</v>
      </c>
      <c r="H286" s="14">
        <v>24</v>
      </c>
      <c r="I286" s="3">
        <v>45594</v>
      </c>
      <c r="J286" s="11" t="s">
        <v>19</v>
      </c>
      <c r="K286" s="12" t="s">
        <v>796</v>
      </c>
      <c r="L286" s="12" t="s">
        <v>806</v>
      </c>
      <c r="M286" s="7">
        <v>50000000</v>
      </c>
      <c r="N286" s="12" t="str">
        <f t="shared" si="4"/>
        <v>HIGH RISK</v>
      </c>
      <c r="O286" t="str">
        <f>_xlfn.XLOOKUP(C286,[1]branches!$A$2:$A$11,[1]branches!$D$2:$D$11,"No apecified")</f>
        <v>North</v>
      </c>
    </row>
    <row r="287" spans="1:15" x14ac:dyDescent="0.3">
      <c r="A287" s="13" t="s">
        <v>497</v>
      </c>
      <c r="B287" s="13" t="s">
        <v>32</v>
      </c>
      <c r="C287" s="13" t="s">
        <v>22</v>
      </c>
      <c r="D287" s="13" t="s">
        <v>30</v>
      </c>
      <c r="E287" s="13" t="s">
        <v>760</v>
      </c>
      <c r="F287" s="6">
        <v>10000000</v>
      </c>
      <c r="G287" s="19">
        <v>0.22</v>
      </c>
      <c r="H287" s="15">
        <v>36</v>
      </c>
      <c r="I287" s="4">
        <v>45372</v>
      </c>
      <c r="J287" s="13" t="s">
        <v>33</v>
      </c>
      <c r="K287" s="12" t="s">
        <v>795</v>
      </c>
      <c r="L287" s="12" t="s">
        <v>807</v>
      </c>
      <c r="M287" s="7">
        <v>30000000</v>
      </c>
      <c r="N287" s="12" t="str">
        <f t="shared" si="4"/>
        <v>NORMAL</v>
      </c>
      <c r="O287" t="str">
        <f>_xlfn.XLOOKUP(C287,[1]branches!$A$2:$A$11,[1]branches!$D$2:$D$11,"No apecified")</f>
        <v>North</v>
      </c>
    </row>
    <row r="288" spans="1:15" x14ac:dyDescent="0.3">
      <c r="A288" s="11" t="s">
        <v>498</v>
      </c>
      <c r="B288" s="11" t="s">
        <v>246</v>
      </c>
      <c r="C288" s="11" t="s">
        <v>56</v>
      </c>
      <c r="D288" s="11" t="s">
        <v>57</v>
      </c>
      <c r="E288" s="11" t="s">
        <v>760</v>
      </c>
      <c r="F288" s="5">
        <v>5000000</v>
      </c>
      <c r="G288" s="18">
        <v>0.2</v>
      </c>
      <c r="H288" s="14">
        <v>12</v>
      </c>
      <c r="I288" s="3">
        <v>45639</v>
      </c>
      <c r="J288" s="11" t="s">
        <v>19</v>
      </c>
      <c r="K288" s="12" t="s">
        <v>801</v>
      </c>
      <c r="L288" s="12" t="s">
        <v>812</v>
      </c>
      <c r="M288" s="7">
        <v>50000000</v>
      </c>
      <c r="N288" s="12" t="str">
        <f t="shared" si="4"/>
        <v>HIGH RISK</v>
      </c>
      <c r="O288" t="str">
        <f>_xlfn.XLOOKUP(C288,[1]branches!$A$2:$A$11,[1]branches!$D$2:$D$11,"No apecified")</f>
        <v>South-West</v>
      </c>
    </row>
    <row r="289" spans="1:15" x14ac:dyDescent="0.3">
      <c r="A289" s="13" t="s">
        <v>499</v>
      </c>
      <c r="B289" s="13" t="s">
        <v>500</v>
      </c>
      <c r="C289" s="13" t="s">
        <v>46</v>
      </c>
      <c r="D289" s="13" t="s">
        <v>96</v>
      </c>
      <c r="E289" s="13" t="s">
        <v>39</v>
      </c>
      <c r="F289" s="6">
        <v>2000000</v>
      </c>
      <c r="G289" s="19">
        <v>0.2</v>
      </c>
      <c r="H289" s="15">
        <v>24</v>
      </c>
      <c r="I289" s="4">
        <v>45487</v>
      </c>
      <c r="J289" s="13" t="s">
        <v>14</v>
      </c>
      <c r="K289" s="12" t="s">
        <v>799</v>
      </c>
      <c r="L289" s="12" t="s">
        <v>817</v>
      </c>
      <c r="M289" s="7">
        <v>40000000</v>
      </c>
      <c r="N289" s="12" t="str">
        <f t="shared" si="4"/>
        <v>NORMAL</v>
      </c>
      <c r="O289" t="str">
        <f>_xlfn.XLOOKUP(C289,[1]branches!$A$2:$A$11,[1]branches!$D$2:$D$11,"No apecified")</f>
        <v>South-West</v>
      </c>
    </row>
    <row r="290" spans="1:15" x14ac:dyDescent="0.3">
      <c r="A290" s="11" t="s">
        <v>501</v>
      </c>
      <c r="B290" s="11" t="s">
        <v>279</v>
      </c>
      <c r="C290" s="11" t="s">
        <v>60</v>
      </c>
      <c r="D290" s="11" t="s">
        <v>61</v>
      </c>
      <c r="E290" s="11" t="s">
        <v>760</v>
      </c>
      <c r="F290" s="5">
        <v>750000</v>
      </c>
      <c r="G290" s="18">
        <v>0.24</v>
      </c>
      <c r="H290" s="14">
        <v>36</v>
      </c>
      <c r="I290" s="3">
        <v>45451</v>
      </c>
      <c r="J290" s="11" t="s">
        <v>19</v>
      </c>
      <c r="K290" s="12" t="s">
        <v>802</v>
      </c>
      <c r="L290" s="12" t="s">
        <v>813</v>
      </c>
      <c r="M290" s="7">
        <v>75000000</v>
      </c>
      <c r="N290" s="12" t="str">
        <f t="shared" si="4"/>
        <v>AT RISK</v>
      </c>
      <c r="O290" t="str">
        <f>_xlfn.XLOOKUP(C290,[1]branches!$A$2:$A$11,[1]branches!$D$2:$D$11,"No apecified")</f>
        <v>North</v>
      </c>
    </row>
    <row r="291" spans="1:15" x14ac:dyDescent="0.3">
      <c r="A291" s="13" t="s">
        <v>502</v>
      </c>
      <c r="B291" s="13" t="s">
        <v>503</v>
      </c>
      <c r="C291" s="13" t="s">
        <v>46</v>
      </c>
      <c r="D291" s="13" t="s">
        <v>96</v>
      </c>
      <c r="E291" s="13" t="s">
        <v>39</v>
      </c>
      <c r="F291" s="6">
        <v>3000000</v>
      </c>
      <c r="G291" s="19">
        <v>0.2</v>
      </c>
      <c r="H291" s="15">
        <v>24</v>
      </c>
      <c r="I291" s="4">
        <v>45592</v>
      </c>
      <c r="J291" s="13" t="s">
        <v>33</v>
      </c>
      <c r="K291" s="12" t="s">
        <v>799</v>
      </c>
      <c r="L291" s="12" t="s">
        <v>817</v>
      </c>
      <c r="M291" s="7">
        <v>40000000</v>
      </c>
      <c r="N291" s="12" t="str">
        <f t="shared" si="4"/>
        <v>NORMAL</v>
      </c>
      <c r="O291" t="str">
        <f>_xlfn.XLOOKUP(C291,[1]branches!$A$2:$A$11,[1]branches!$D$2:$D$11,"No apecified")</f>
        <v>South-West</v>
      </c>
    </row>
    <row r="292" spans="1:15" x14ac:dyDescent="0.3">
      <c r="A292" s="11" t="s">
        <v>504</v>
      </c>
      <c r="B292" s="11" t="s">
        <v>382</v>
      </c>
      <c r="C292" s="11" t="s">
        <v>60</v>
      </c>
      <c r="D292" s="11" t="s">
        <v>61</v>
      </c>
      <c r="E292" s="11" t="s">
        <v>81</v>
      </c>
      <c r="F292" s="5">
        <v>3000000</v>
      </c>
      <c r="G292" s="18">
        <v>0.16</v>
      </c>
      <c r="H292" s="14">
        <v>36</v>
      </c>
      <c r="I292" s="3">
        <v>45405</v>
      </c>
      <c r="J292" s="11" t="s">
        <v>33</v>
      </c>
      <c r="K292" s="12" t="s">
        <v>802</v>
      </c>
      <c r="L292" s="12" t="s">
        <v>813</v>
      </c>
      <c r="M292" s="7">
        <v>75000000</v>
      </c>
      <c r="N292" s="12" t="str">
        <f t="shared" si="4"/>
        <v>NORMAL</v>
      </c>
      <c r="O292" t="str">
        <f>_xlfn.XLOOKUP(C292,[1]branches!$A$2:$A$11,[1]branches!$D$2:$D$11,"No apecified")</f>
        <v>North</v>
      </c>
    </row>
    <row r="293" spans="1:15" x14ac:dyDescent="0.3">
      <c r="A293" s="13" t="s">
        <v>505</v>
      </c>
      <c r="B293" s="13" t="s">
        <v>229</v>
      </c>
      <c r="C293" s="13" t="s">
        <v>60</v>
      </c>
      <c r="D293" s="13" t="s">
        <v>69</v>
      </c>
      <c r="E293" s="13" t="s">
        <v>760</v>
      </c>
      <c r="F293" s="6">
        <v>1500000</v>
      </c>
      <c r="G293" s="19">
        <v>0.22</v>
      </c>
      <c r="H293" s="15">
        <v>18</v>
      </c>
      <c r="I293" s="4">
        <v>45299</v>
      </c>
      <c r="J293" s="13" t="s">
        <v>14</v>
      </c>
      <c r="K293" s="12" t="s">
        <v>802</v>
      </c>
      <c r="L293" s="12" t="s">
        <v>815</v>
      </c>
      <c r="M293" s="7">
        <v>75000000</v>
      </c>
      <c r="N293" s="12" t="str">
        <f t="shared" si="4"/>
        <v>NORMAL</v>
      </c>
      <c r="O293" t="str">
        <f>_xlfn.XLOOKUP(C293,[1]branches!$A$2:$A$11,[1]branches!$D$2:$D$11,"No apecified")</f>
        <v>North</v>
      </c>
    </row>
    <row r="294" spans="1:15" x14ac:dyDescent="0.3">
      <c r="A294" s="11" t="s">
        <v>506</v>
      </c>
      <c r="B294" s="11" t="s">
        <v>314</v>
      </c>
      <c r="C294" s="11" t="s">
        <v>22</v>
      </c>
      <c r="D294" s="11" t="s">
        <v>23</v>
      </c>
      <c r="E294" s="11" t="s">
        <v>39</v>
      </c>
      <c r="F294" s="5">
        <v>750000</v>
      </c>
      <c r="G294" s="18">
        <v>0.22</v>
      </c>
      <c r="H294" s="14">
        <v>18</v>
      </c>
      <c r="I294" s="3">
        <v>45642</v>
      </c>
      <c r="J294" s="11" t="s">
        <v>33</v>
      </c>
      <c r="K294" s="12" t="s">
        <v>795</v>
      </c>
      <c r="L294" s="12" t="s">
        <v>805</v>
      </c>
      <c r="M294" s="7">
        <v>30000000</v>
      </c>
      <c r="N294" s="12" t="str">
        <f t="shared" si="4"/>
        <v>NORMAL</v>
      </c>
      <c r="O294" t="str">
        <f>_xlfn.XLOOKUP(C294,[1]branches!$A$2:$A$11,[1]branches!$D$2:$D$11,"No apecified")</f>
        <v>North</v>
      </c>
    </row>
    <row r="295" spans="1:15" x14ac:dyDescent="0.3">
      <c r="A295" s="13" t="s">
        <v>507</v>
      </c>
      <c r="B295" s="13" t="s">
        <v>246</v>
      </c>
      <c r="C295" s="13" t="s">
        <v>56</v>
      </c>
      <c r="D295" s="13" t="s">
        <v>57</v>
      </c>
      <c r="E295" s="13" t="s">
        <v>39</v>
      </c>
      <c r="F295" s="6">
        <v>10000000</v>
      </c>
      <c r="G295" s="19">
        <v>0.24</v>
      </c>
      <c r="H295" s="15">
        <v>12</v>
      </c>
      <c r="I295" s="4">
        <v>45353</v>
      </c>
      <c r="J295" s="13" t="s">
        <v>33</v>
      </c>
      <c r="K295" s="12" t="s">
        <v>801</v>
      </c>
      <c r="L295" s="12" t="s">
        <v>812</v>
      </c>
      <c r="M295" s="7">
        <v>50000000</v>
      </c>
      <c r="N295" s="12" t="str">
        <f t="shared" si="4"/>
        <v>NORMAL</v>
      </c>
      <c r="O295" t="str">
        <f>_xlfn.XLOOKUP(C295,[1]branches!$A$2:$A$11,[1]branches!$D$2:$D$11,"No apecified")</f>
        <v>South-West</v>
      </c>
    </row>
    <row r="296" spans="1:15" x14ac:dyDescent="0.3">
      <c r="A296" s="11" t="s">
        <v>508</v>
      </c>
      <c r="B296" s="11" t="s">
        <v>509</v>
      </c>
      <c r="C296" s="11" t="s">
        <v>17</v>
      </c>
      <c r="D296" s="11" t="s">
        <v>18</v>
      </c>
      <c r="E296" s="11" t="s">
        <v>39</v>
      </c>
      <c r="F296" s="5">
        <v>1500000</v>
      </c>
      <c r="G296" s="18">
        <v>0.22</v>
      </c>
      <c r="H296" s="14">
        <v>18</v>
      </c>
      <c r="I296" s="3">
        <v>45619</v>
      </c>
      <c r="J296" s="11" t="s">
        <v>33</v>
      </c>
      <c r="K296" s="12" t="s">
        <v>794</v>
      </c>
      <c r="L296" s="12" t="s">
        <v>804</v>
      </c>
      <c r="M296" s="7">
        <v>75000000</v>
      </c>
      <c r="N296" s="12" t="str">
        <f t="shared" si="4"/>
        <v>NORMAL</v>
      </c>
      <c r="O296" t="str">
        <f>_xlfn.XLOOKUP(C296,[1]branches!$A$2:$A$11,[1]branches!$D$2:$D$11,"No apecified")</f>
        <v>South-South</v>
      </c>
    </row>
    <row r="297" spans="1:15" x14ac:dyDescent="0.3">
      <c r="A297" s="13" t="s">
        <v>510</v>
      </c>
      <c r="B297" s="13" t="s">
        <v>59</v>
      </c>
      <c r="C297" s="13" t="s">
        <v>60</v>
      </c>
      <c r="D297" s="13" t="s">
        <v>61</v>
      </c>
      <c r="E297" s="13" t="s">
        <v>760</v>
      </c>
      <c r="F297" s="6">
        <v>750000</v>
      </c>
      <c r="G297" s="19">
        <v>0.18</v>
      </c>
      <c r="H297" s="15">
        <v>24</v>
      </c>
      <c r="I297" s="4">
        <v>45540</v>
      </c>
      <c r="J297" s="13" t="s">
        <v>19</v>
      </c>
      <c r="K297" s="12" t="s">
        <v>802</v>
      </c>
      <c r="L297" s="12" t="s">
        <v>813</v>
      </c>
      <c r="M297" s="7">
        <v>75000000</v>
      </c>
      <c r="N297" s="12" t="str">
        <f t="shared" si="4"/>
        <v>AT RISK</v>
      </c>
      <c r="O297" t="str">
        <f>_xlfn.XLOOKUP(C297,[1]branches!$A$2:$A$11,[1]branches!$D$2:$D$11,"No apecified")</f>
        <v>North</v>
      </c>
    </row>
    <row r="298" spans="1:15" x14ac:dyDescent="0.3">
      <c r="A298" s="11" t="s">
        <v>511</v>
      </c>
      <c r="B298" s="11" t="s">
        <v>53</v>
      </c>
      <c r="C298" s="11" t="s">
        <v>36</v>
      </c>
      <c r="D298" s="11" t="s">
        <v>37</v>
      </c>
      <c r="E298" s="11" t="s">
        <v>39</v>
      </c>
      <c r="F298" s="5">
        <v>1500000</v>
      </c>
      <c r="G298" s="18">
        <v>0.24</v>
      </c>
      <c r="H298" s="14">
        <v>6</v>
      </c>
      <c r="I298" s="3">
        <v>45391</v>
      </c>
      <c r="J298" s="11" t="s">
        <v>14</v>
      </c>
      <c r="K298" s="12" t="s">
        <v>797</v>
      </c>
      <c r="L298" s="12" t="s">
        <v>808</v>
      </c>
      <c r="M298" s="7">
        <v>40000000</v>
      </c>
      <c r="N298" s="12" t="str">
        <f t="shared" si="4"/>
        <v>NORMAL</v>
      </c>
      <c r="O298" t="str">
        <f>_xlfn.XLOOKUP(C298,[1]branches!$A$2:$A$11,[1]branches!$D$2:$D$11,"No apecified")</f>
        <v>South-South</v>
      </c>
    </row>
    <row r="299" spans="1:15" x14ac:dyDescent="0.3">
      <c r="A299" s="13" t="s">
        <v>512</v>
      </c>
      <c r="B299" s="13" t="s">
        <v>503</v>
      </c>
      <c r="C299" s="13" t="s">
        <v>46</v>
      </c>
      <c r="D299" s="13" t="s">
        <v>96</v>
      </c>
      <c r="E299" s="13" t="s">
        <v>81</v>
      </c>
      <c r="F299" s="6">
        <v>750000</v>
      </c>
      <c r="G299" s="19">
        <v>0.18</v>
      </c>
      <c r="H299" s="15">
        <v>6</v>
      </c>
      <c r="I299" s="4">
        <v>45478</v>
      </c>
      <c r="J299" s="13" t="s">
        <v>33</v>
      </c>
      <c r="K299" s="12" t="s">
        <v>799</v>
      </c>
      <c r="L299" s="12" t="s">
        <v>817</v>
      </c>
      <c r="M299" s="7">
        <v>40000000</v>
      </c>
      <c r="N299" s="12" t="str">
        <f t="shared" si="4"/>
        <v>NORMAL</v>
      </c>
      <c r="O299" t="str">
        <f>_xlfn.XLOOKUP(C299,[1]branches!$A$2:$A$11,[1]branches!$D$2:$D$11,"No apecified")</f>
        <v>South-West</v>
      </c>
    </row>
    <row r="300" spans="1:15" x14ac:dyDescent="0.3">
      <c r="A300" s="11" t="s">
        <v>513</v>
      </c>
      <c r="B300" s="11" t="s">
        <v>188</v>
      </c>
      <c r="C300" s="11" t="s">
        <v>22</v>
      </c>
      <c r="D300" s="11" t="s">
        <v>30</v>
      </c>
      <c r="E300" s="11" t="s">
        <v>760</v>
      </c>
      <c r="F300" s="5">
        <v>2000000</v>
      </c>
      <c r="G300" s="18">
        <v>0.18</v>
      </c>
      <c r="H300" s="14">
        <v>12</v>
      </c>
      <c r="I300" s="3">
        <v>45374</v>
      </c>
      <c r="J300" s="11" t="s">
        <v>33</v>
      </c>
      <c r="K300" s="12" t="s">
        <v>795</v>
      </c>
      <c r="L300" s="12" t="s">
        <v>807</v>
      </c>
      <c r="M300" s="7">
        <v>30000000</v>
      </c>
      <c r="N300" s="12" t="str">
        <f t="shared" si="4"/>
        <v>NORMAL</v>
      </c>
      <c r="O300" t="str">
        <f>_xlfn.XLOOKUP(C300,[1]branches!$A$2:$A$11,[1]branches!$D$2:$D$11,"No apecified")</f>
        <v>North</v>
      </c>
    </row>
    <row r="301" spans="1:15" x14ac:dyDescent="0.3">
      <c r="A301" s="13" t="s">
        <v>514</v>
      </c>
      <c r="B301" s="13" t="s">
        <v>515</v>
      </c>
      <c r="C301" s="13" t="s">
        <v>42</v>
      </c>
      <c r="D301" s="13" t="s">
        <v>282</v>
      </c>
      <c r="E301" s="13" t="s">
        <v>760</v>
      </c>
      <c r="F301" s="6">
        <v>5000000</v>
      </c>
      <c r="G301" s="19">
        <v>0.16</v>
      </c>
      <c r="H301" s="15">
        <v>36</v>
      </c>
      <c r="I301" s="4">
        <v>45478</v>
      </c>
      <c r="J301" s="13" t="s">
        <v>33</v>
      </c>
      <c r="K301" s="12" t="s">
        <v>798</v>
      </c>
      <c r="L301" s="12" t="s">
        <v>822</v>
      </c>
      <c r="M301" s="7">
        <v>50000000</v>
      </c>
      <c r="N301" s="12" t="str">
        <f t="shared" si="4"/>
        <v>NORMAL</v>
      </c>
      <c r="O301" t="str">
        <f>_xlfn.XLOOKUP(C301,[1]branches!$A$2:$A$11,[1]branches!$D$2:$D$11,"No apecified")</f>
        <v>North</v>
      </c>
    </row>
    <row r="302" spans="1:15" x14ac:dyDescent="0.3">
      <c r="A302" s="11" t="s">
        <v>516</v>
      </c>
      <c r="B302" s="11" t="s">
        <v>517</v>
      </c>
      <c r="C302" s="11" t="s">
        <v>46</v>
      </c>
      <c r="D302" s="11" t="s">
        <v>96</v>
      </c>
      <c r="E302" s="11" t="s">
        <v>39</v>
      </c>
      <c r="F302" s="5">
        <v>7500000</v>
      </c>
      <c r="G302" s="18">
        <v>0.24</v>
      </c>
      <c r="H302" s="14">
        <v>36</v>
      </c>
      <c r="I302" s="3">
        <v>45646</v>
      </c>
      <c r="J302" s="11" t="s">
        <v>33</v>
      </c>
      <c r="K302" s="12" t="s">
        <v>799</v>
      </c>
      <c r="L302" s="12" t="s">
        <v>817</v>
      </c>
      <c r="M302" s="7">
        <v>40000000</v>
      </c>
      <c r="N302" s="12" t="str">
        <f t="shared" si="4"/>
        <v>NORMAL</v>
      </c>
      <c r="O302" t="str">
        <f>_xlfn.XLOOKUP(C302,[1]branches!$A$2:$A$11,[1]branches!$D$2:$D$11,"No apecified")</f>
        <v>South-West</v>
      </c>
    </row>
    <row r="303" spans="1:15" x14ac:dyDescent="0.3">
      <c r="A303" s="13" t="s">
        <v>518</v>
      </c>
      <c r="B303" s="13" t="s">
        <v>213</v>
      </c>
      <c r="C303" s="13" t="s">
        <v>46</v>
      </c>
      <c r="D303" s="13" t="s">
        <v>96</v>
      </c>
      <c r="E303" s="13" t="s">
        <v>81</v>
      </c>
      <c r="F303" s="6">
        <v>750000</v>
      </c>
      <c r="G303" s="19">
        <v>0.2</v>
      </c>
      <c r="H303" s="15">
        <v>24</v>
      </c>
      <c r="I303" s="4">
        <v>45298</v>
      </c>
      <c r="J303" s="13" t="s">
        <v>33</v>
      </c>
      <c r="K303" s="12" t="s">
        <v>799</v>
      </c>
      <c r="L303" s="12" t="s">
        <v>817</v>
      </c>
      <c r="M303" s="7">
        <v>40000000</v>
      </c>
      <c r="N303" s="12" t="str">
        <f t="shared" si="4"/>
        <v>NORMAL</v>
      </c>
      <c r="O303" t="str">
        <f>_xlfn.XLOOKUP(C303,[1]branches!$A$2:$A$11,[1]branches!$D$2:$D$11,"No apecified")</f>
        <v>South-West</v>
      </c>
    </row>
    <row r="304" spans="1:15" x14ac:dyDescent="0.3">
      <c r="A304" s="11" t="s">
        <v>519</v>
      </c>
      <c r="B304" s="11" t="s">
        <v>520</v>
      </c>
      <c r="C304" s="11" t="s">
        <v>60</v>
      </c>
      <c r="D304" s="11" t="s">
        <v>69</v>
      </c>
      <c r="E304" s="11" t="s">
        <v>39</v>
      </c>
      <c r="F304" s="5">
        <v>2000000</v>
      </c>
      <c r="G304" s="18">
        <v>0.22</v>
      </c>
      <c r="H304" s="14">
        <v>12</v>
      </c>
      <c r="I304" s="3">
        <v>45486</v>
      </c>
      <c r="J304" s="11" t="s">
        <v>14</v>
      </c>
      <c r="K304" s="12" t="s">
        <v>802</v>
      </c>
      <c r="L304" s="12" t="s">
        <v>815</v>
      </c>
      <c r="M304" s="7">
        <v>75000000</v>
      </c>
      <c r="N304" s="12" t="str">
        <f t="shared" si="4"/>
        <v>NORMAL</v>
      </c>
      <c r="O304" t="str">
        <f>_xlfn.XLOOKUP(C304,[1]branches!$A$2:$A$11,[1]branches!$D$2:$D$11,"No apecified")</f>
        <v>North</v>
      </c>
    </row>
    <row r="305" spans="1:15" x14ac:dyDescent="0.3">
      <c r="A305" s="13" t="s">
        <v>521</v>
      </c>
      <c r="B305" s="13" t="s">
        <v>274</v>
      </c>
      <c r="C305" s="13" t="s">
        <v>46</v>
      </c>
      <c r="D305" s="13" t="s">
        <v>47</v>
      </c>
      <c r="E305" s="13" t="s">
        <v>760</v>
      </c>
      <c r="F305" s="6">
        <v>7500000</v>
      </c>
      <c r="G305" s="19">
        <v>0.24</v>
      </c>
      <c r="H305" s="15">
        <v>6</v>
      </c>
      <c r="I305" s="4">
        <v>45416</v>
      </c>
      <c r="J305" s="13" t="s">
        <v>33</v>
      </c>
      <c r="K305" s="12" t="s">
        <v>799</v>
      </c>
      <c r="L305" s="12" t="s">
        <v>810</v>
      </c>
      <c r="M305" s="7">
        <v>30000000</v>
      </c>
      <c r="N305" s="12" t="str">
        <f t="shared" si="4"/>
        <v>NORMAL</v>
      </c>
      <c r="O305" t="str">
        <f>_xlfn.XLOOKUP(C305,[1]branches!$A$2:$A$11,[1]branches!$D$2:$D$11,"No apecified")</f>
        <v>South-West</v>
      </c>
    </row>
    <row r="306" spans="1:15" x14ac:dyDescent="0.3">
      <c r="A306" s="11" t="s">
        <v>522</v>
      </c>
      <c r="B306" s="11" t="s">
        <v>296</v>
      </c>
      <c r="C306" s="11" t="s">
        <v>36</v>
      </c>
      <c r="D306" s="11" t="s">
        <v>121</v>
      </c>
      <c r="E306" s="11" t="s">
        <v>760</v>
      </c>
      <c r="F306" s="5">
        <v>5000000</v>
      </c>
      <c r="G306" s="18">
        <v>0.2</v>
      </c>
      <c r="H306" s="14">
        <v>6</v>
      </c>
      <c r="I306" s="3">
        <v>45616</v>
      </c>
      <c r="J306" s="11" t="s">
        <v>19</v>
      </c>
      <c r="K306" s="12" t="s">
        <v>797</v>
      </c>
      <c r="L306" s="12" t="s">
        <v>818</v>
      </c>
      <c r="M306" s="7">
        <v>30000000</v>
      </c>
      <c r="N306" s="12" t="str">
        <f t="shared" si="4"/>
        <v>HIGH RISK</v>
      </c>
      <c r="O306" t="str">
        <f>_xlfn.XLOOKUP(C306,[1]branches!$A$2:$A$11,[1]branches!$D$2:$D$11,"No apecified")</f>
        <v>South-South</v>
      </c>
    </row>
    <row r="307" spans="1:15" x14ac:dyDescent="0.3">
      <c r="A307" s="13" t="s">
        <v>523</v>
      </c>
      <c r="B307" s="13" t="s">
        <v>63</v>
      </c>
      <c r="C307" s="13" t="s">
        <v>50</v>
      </c>
      <c r="D307" s="13" t="s">
        <v>51</v>
      </c>
      <c r="E307" s="13" t="s">
        <v>81</v>
      </c>
      <c r="F307" s="6">
        <v>2000000</v>
      </c>
      <c r="G307" s="19">
        <v>0.2</v>
      </c>
      <c r="H307" s="15">
        <v>12</v>
      </c>
      <c r="I307" s="4">
        <v>45349</v>
      </c>
      <c r="J307" s="13" t="s">
        <v>33</v>
      </c>
      <c r="K307" s="12" t="s">
        <v>800</v>
      </c>
      <c r="L307" s="12" t="s">
        <v>811</v>
      </c>
      <c r="M307" s="7">
        <v>75000000</v>
      </c>
      <c r="N307" s="12" t="str">
        <f t="shared" si="4"/>
        <v>NORMAL</v>
      </c>
      <c r="O307" t="str">
        <f>_xlfn.XLOOKUP(C307,[1]branches!$A$2:$A$11,[1]branches!$D$2:$D$11,"No apecified")</f>
        <v>South-West</v>
      </c>
    </row>
    <row r="308" spans="1:15" x14ac:dyDescent="0.3">
      <c r="A308" s="11" t="s">
        <v>524</v>
      </c>
      <c r="B308" s="11" t="s">
        <v>296</v>
      </c>
      <c r="C308" s="11" t="s">
        <v>36</v>
      </c>
      <c r="D308" s="11" t="s">
        <v>121</v>
      </c>
      <c r="E308" s="11" t="s">
        <v>760</v>
      </c>
      <c r="F308" s="5">
        <v>5000000</v>
      </c>
      <c r="G308" s="18">
        <v>0.2</v>
      </c>
      <c r="H308" s="14">
        <v>24</v>
      </c>
      <c r="I308" s="3">
        <v>45536</v>
      </c>
      <c r="J308" s="11" t="s">
        <v>33</v>
      </c>
      <c r="K308" s="12" t="s">
        <v>797</v>
      </c>
      <c r="L308" s="12" t="s">
        <v>818</v>
      </c>
      <c r="M308" s="7">
        <v>30000000</v>
      </c>
      <c r="N308" s="12" t="str">
        <f t="shared" si="4"/>
        <v>NORMAL</v>
      </c>
      <c r="O308" t="str">
        <f>_xlfn.XLOOKUP(C308,[1]branches!$A$2:$A$11,[1]branches!$D$2:$D$11,"No apecified")</f>
        <v>South-South</v>
      </c>
    </row>
    <row r="309" spans="1:15" x14ac:dyDescent="0.3">
      <c r="A309" s="13" t="s">
        <v>525</v>
      </c>
      <c r="B309" s="13" t="s">
        <v>123</v>
      </c>
      <c r="C309" s="13" t="s">
        <v>60</v>
      </c>
      <c r="D309" s="13" t="s">
        <v>61</v>
      </c>
      <c r="E309" s="13" t="s">
        <v>39</v>
      </c>
      <c r="F309" s="6">
        <v>500000</v>
      </c>
      <c r="G309" s="19">
        <v>0.18</v>
      </c>
      <c r="H309" s="15">
        <v>12</v>
      </c>
      <c r="I309" s="4">
        <v>45453</v>
      </c>
      <c r="J309" s="13" t="s">
        <v>14</v>
      </c>
      <c r="K309" s="12" t="s">
        <v>802</v>
      </c>
      <c r="L309" s="12" t="s">
        <v>813</v>
      </c>
      <c r="M309" s="7">
        <v>75000000</v>
      </c>
      <c r="N309" s="12" t="str">
        <f t="shared" si="4"/>
        <v>NORMAL</v>
      </c>
      <c r="O309" t="str">
        <f>_xlfn.XLOOKUP(C309,[1]branches!$A$2:$A$11,[1]branches!$D$2:$D$11,"No apecified")</f>
        <v>North</v>
      </c>
    </row>
    <row r="310" spans="1:15" x14ac:dyDescent="0.3">
      <c r="A310" s="11" t="s">
        <v>526</v>
      </c>
      <c r="B310" s="11" t="s">
        <v>95</v>
      </c>
      <c r="C310" s="11" t="s">
        <v>46</v>
      </c>
      <c r="D310" s="11" t="s">
        <v>96</v>
      </c>
      <c r="E310" s="11" t="s">
        <v>39</v>
      </c>
      <c r="F310" s="5">
        <v>3000000</v>
      </c>
      <c r="G310" s="18">
        <v>0.22</v>
      </c>
      <c r="H310" s="14">
        <v>12</v>
      </c>
      <c r="I310" s="3">
        <v>45577</v>
      </c>
      <c r="J310" s="11" t="s">
        <v>14</v>
      </c>
      <c r="K310" s="12" t="s">
        <v>799</v>
      </c>
      <c r="L310" s="12" t="s">
        <v>817</v>
      </c>
      <c r="M310" s="7">
        <v>40000000</v>
      </c>
      <c r="N310" s="12" t="str">
        <f t="shared" si="4"/>
        <v>NORMAL</v>
      </c>
      <c r="O310" t="str">
        <f>_xlfn.XLOOKUP(C310,[1]branches!$A$2:$A$11,[1]branches!$D$2:$D$11,"No apecified")</f>
        <v>South-West</v>
      </c>
    </row>
    <row r="311" spans="1:15" x14ac:dyDescent="0.3">
      <c r="A311" s="13" t="s">
        <v>527</v>
      </c>
      <c r="B311" s="13" t="s">
        <v>114</v>
      </c>
      <c r="C311" s="13" t="s">
        <v>26</v>
      </c>
      <c r="D311" s="13" t="s">
        <v>66</v>
      </c>
      <c r="E311" s="13" t="s">
        <v>81</v>
      </c>
      <c r="F311" s="6">
        <v>10000000</v>
      </c>
      <c r="G311" s="19">
        <v>0.16</v>
      </c>
      <c r="H311" s="15">
        <v>12</v>
      </c>
      <c r="I311" s="4">
        <v>45491</v>
      </c>
      <c r="J311" s="13" t="s">
        <v>33</v>
      </c>
      <c r="K311" s="12" t="s">
        <v>796</v>
      </c>
      <c r="L311" s="12" t="s">
        <v>814</v>
      </c>
      <c r="M311" s="7">
        <v>60000000</v>
      </c>
      <c r="N311" s="12" t="str">
        <f t="shared" si="4"/>
        <v>NORMAL</v>
      </c>
      <c r="O311" t="str">
        <f>_xlfn.XLOOKUP(C311,[1]branches!$A$2:$A$11,[1]branches!$D$2:$D$11,"No apecified")</f>
        <v>North</v>
      </c>
    </row>
    <row r="312" spans="1:15" x14ac:dyDescent="0.3">
      <c r="A312" s="11" t="s">
        <v>528</v>
      </c>
      <c r="B312" s="11" t="s">
        <v>529</v>
      </c>
      <c r="C312" s="11" t="s">
        <v>46</v>
      </c>
      <c r="D312" s="11" t="s">
        <v>47</v>
      </c>
      <c r="E312" s="11" t="s">
        <v>760</v>
      </c>
      <c r="F312" s="5">
        <v>1500000</v>
      </c>
      <c r="G312" s="18">
        <v>0.24</v>
      </c>
      <c r="H312" s="14">
        <v>6</v>
      </c>
      <c r="I312" s="3">
        <v>45608</v>
      </c>
      <c r="J312" s="11" t="s">
        <v>14</v>
      </c>
      <c r="K312" s="12" t="s">
        <v>799</v>
      </c>
      <c r="L312" s="12" t="s">
        <v>810</v>
      </c>
      <c r="M312" s="7">
        <v>30000000</v>
      </c>
      <c r="N312" s="12" t="str">
        <f t="shared" si="4"/>
        <v>NORMAL</v>
      </c>
      <c r="O312" t="str">
        <f>_xlfn.XLOOKUP(C312,[1]branches!$A$2:$A$11,[1]branches!$D$2:$D$11,"No apecified")</f>
        <v>South-West</v>
      </c>
    </row>
    <row r="313" spans="1:15" x14ac:dyDescent="0.3">
      <c r="A313" s="13" t="s">
        <v>530</v>
      </c>
      <c r="B313" s="13" t="s">
        <v>257</v>
      </c>
      <c r="C313" s="13" t="s">
        <v>17</v>
      </c>
      <c r="D313" s="13" t="s">
        <v>148</v>
      </c>
      <c r="E313" s="13" t="s">
        <v>81</v>
      </c>
      <c r="F313" s="6">
        <v>5000000</v>
      </c>
      <c r="G313" s="19">
        <v>0.16</v>
      </c>
      <c r="H313" s="15">
        <v>18</v>
      </c>
      <c r="I313" s="4">
        <v>45533</v>
      </c>
      <c r="J313" s="13" t="s">
        <v>14</v>
      </c>
      <c r="K313" s="12" t="s">
        <v>794</v>
      </c>
      <c r="L313" s="12" t="s">
        <v>821</v>
      </c>
      <c r="M313" s="7">
        <v>40000000</v>
      </c>
      <c r="N313" s="12" t="str">
        <f t="shared" si="4"/>
        <v>NORMAL</v>
      </c>
      <c r="O313" t="str">
        <f>_xlfn.XLOOKUP(C313,[1]branches!$A$2:$A$11,[1]branches!$D$2:$D$11,"No apecified")</f>
        <v>South-South</v>
      </c>
    </row>
    <row r="314" spans="1:15" x14ac:dyDescent="0.3">
      <c r="A314" s="11" t="s">
        <v>531</v>
      </c>
      <c r="B314" s="11" t="s">
        <v>235</v>
      </c>
      <c r="C314" s="11" t="s">
        <v>17</v>
      </c>
      <c r="D314" s="11" t="s">
        <v>148</v>
      </c>
      <c r="E314" s="11" t="s">
        <v>81</v>
      </c>
      <c r="F314" s="5">
        <v>750000</v>
      </c>
      <c r="G314" s="18">
        <v>0.2</v>
      </c>
      <c r="H314" s="14">
        <v>6</v>
      </c>
      <c r="I314" s="3">
        <v>45465</v>
      </c>
      <c r="J314" s="11" t="s">
        <v>14</v>
      </c>
      <c r="K314" s="12" t="s">
        <v>794</v>
      </c>
      <c r="L314" s="12" t="s">
        <v>821</v>
      </c>
      <c r="M314" s="7">
        <v>40000000</v>
      </c>
      <c r="N314" s="12" t="str">
        <f t="shared" si="4"/>
        <v>NORMAL</v>
      </c>
      <c r="O314" t="str">
        <f>_xlfn.XLOOKUP(C314,[1]branches!$A$2:$A$11,[1]branches!$D$2:$D$11,"No apecified")</f>
        <v>South-South</v>
      </c>
    </row>
    <row r="315" spans="1:15" x14ac:dyDescent="0.3">
      <c r="A315" s="13" t="s">
        <v>532</v>
      </c>
      <c r="B315" s="13" t="s">
        <v>279</v>
      </c>
      <c r="C315" s="13" t="s">
        <v>60</v>
      </c>
      <c r="D315" s="13" t="s">
        <v>61</v>
      </c>
      <c r="E315" s="13" t="s">
        <v>39</v>
      </c>
      <c r="F315" s="6">
        <v>1500000</v>
      </c>
      <c r="G315" s="19">
        <v>0.18</v>
      </c>
      <c r="H315" s="15">
        <v>12</v>
      </c>
      <c r="I315" s="4">
        <v>45571</v>
      </c>
      <c r="J315" s="13" t="s">
        <v>33</v>
      </c>
      <c r="K315" s="12" t="s">
        <v>802</v>
      </c>
      <c r="L315" s="12" t="s">
        <v>813</v>
      </c>
      <c r="M315" s="7">
        <v>75000000</v>
      </c>
      <c r="N315" s="12" t="str">
        <f t="shared" si="4"/>
        <v>NORMAL</v>
      </c>
      <c r="O315" t="str">
        <f>_xlfn.XLOOKUP(C315,[1]branches!$A$2:$A$11,[1]branches!$D$2:$D$11,"No apecified")</f>
        <v>North</v>
      </c>
    </row>
    <row r="316" spans="1:15" x14ac:dyDescent="0.3">
      <c r="A316" s="11" t="s">
        <v>533</v>
      </c>
      <c r="B316" s="11" t="s">
        <v>259</v>
      </c>
      <c r="C316" s="11" t="s">
        <v>36</v>
      </c>
      <c r="D316" s="11" t="s">
        <v>121</v>
      </c>
      <c r="E316" s="11" t="s">
        <v>760</v>
      </c>
      <c r="F316" s="5">
        <v>5000000</v>
      </c>
      <c r="G316" s="18">
        <v>0.2</v>
      </c>
      <c r="H316" s="14">
        <v>24</v>
      </c>
      <c r="I316" s="3">
        <v>45421</v>
      </c>
      <c r="J316" s="11" t="s">
        <v>33</v>
      </c>
      <c r="K316" s="12" t="s">
        <v>797</v>
      </c>
      <c r="L316" s="12" t="s">
        <v>818</v>
      </c>
      <c r="M316" s="7">
        <v>30000000</v>
      </c>
      <c r="N316" s="12" t="str">
        <f t="shared" si="4"/>
        <v>NORMAL</v>
      </c>
      <c r="O316" t="str">
        <f>_xlfn.XLOOKUP(C316,[1]branches!$A$2:$A$11,[1]branches!$D$2:$D$11,"No apecified")</f>
        <v>South-South</v>
      </c>
    </row>
    <row r="317" spans="1:15" x14ac:dyDescent="0.3">
      <c r="A317" s="13" t="s">
        <v>534</v>
      </c>
      <c r="B317" s="13" t="s">
        <v>535</v>
      </c>
      <c r="C317" s="13" t="s">
        <v>12</v>
      </c>
      <c r="D317" s="13" t="s">
        <v>13</v>
      </c>
      <c r="E317" s="13" t="s">
        <v>81</v>
      </c>
      <c r="F317" s="6">
        <v>5000000</v>
      </c>
      <c r="G317" s="19">
        <v>0.2</v>
      </c>
      <c r="H317" s="15">
        <v>12</v>
      </c>
      <c r="I317" s="4">
        <v>45481</v>
      </c>
      <c r="J317" s="13" t="s">
        <v>33</v>
      </c>
      <c r="K317" s="12" t="s">
        <v>793</v>
      </c>
      <c r="L317" s="12" t="s">
        <v>803</v>
      </c>
      <c r="M317" s="7">
        <v>75000000</v>
      </c>
      <c r="N317" s="12" t="str">
        <f t="shared" si="4"/>
        <v>NORMAL</v>
      </c>
      <c r="O317" t="str">
        <f>_xlfn.XLOOKUP(C317,[1]branches!$A$2:$A$11,[1]branches!$D$2:$D$11,"No apecified")</f>
        <v>North</v>
      </c>
    </row>
    <row r="318" spans="1:15" x14ac:dyDescent="0.3">
      <c r="A318" s="11" t="s">
        <v>536</v>
      </c>
      <c r="B318" s="11" t="s">
        <v>222</v>
      </c>
      <c r="C318" s="11" t="s">
        <v>22</v>
      </c>
      <c r="D318" s="11" t="s">
        <v>30</v>
      </c>
      <c r="E318" s="11" t="s">
        <v>760</v>
      </c>
      <c r="F318" s="5">
        <v>5000000</v>
      </c>
      <c r="G318" s="18">
        <v>0.24</v>
      </c>
      <c r="H318" s="14">
        <v>12</v>
      </c>
      <c r="I318" s="3">
        <v>45319</v>
      </c>
      <c r="J318" s="11" t="s">
        <v>33</v>
      </c>
      <c r="K318" s="12" t="s">
        <v>795</v>
      </c>
      <c r="L318" s="12" t="s">
        <v>807</v>
      </c>
      <c r="M318" s="7">
        <v>30000000</v>
      </c>
      <c r="N318" s="12" t="str">
        <f t="shared" si="4"/>
        <v>NORMAL</v>
      </c>
      <c r="O318" t="str">
        <f>_xlfn.XLOOKUP(C318,[1]branches!$A$2:$A$11,[1]branches!$D$2:$D$11,"No apecified")</f>
        <v>North</v>
      </c>
    </row>
    <row r="319" spans="1:15" x14ac:dyDescent="0.3">
      <c r="A319" s="13" t="s">
        <v>537</v>
      </c>
      <c r="B319" s="13" t="s">
        <v>520</v>
      </c>
      <c r="C319" s="13" t="s">
        <v>60</v>
      </c>
      <c r="D319" s="13" t="s">
        <v>69</v>
      </c>
      <c r="E319" s="13" t="s">
        <v>39</v>
      </c>
      <c r="F319" s="6">
        <v>500000</v>
      </c>
      <c r="G319" s="19">
        <v>0.16</v>
      </c>
      <c r="H319" s="15">
        <v>18</v>
      </c>
      <c r="I319" s="4">
        <v>45496</v>
      </c>
      <c r="J319" s="13" t="s">
        <v>33</v>
      </c>
      <c r="K319" s="12" t="s">
        <v>802</v>
      </c>
      <c r="L319" s="12" t="s">
        <v>815</v>
      </c>
      <c r="M319" s="7">
        <v>75000000</v>
      </c>
      <c r="N319" s="12" t="str">
        <f t="shared" si="4"/>
        <v>NORMAL</v>
      </c>
      <c r="O319" t="str">
        <f>_xlfn.XLOOKUP(C319,[1]branches!$A$2:$A$11,[1]branches!$D$2:$D$11,"No apecified")</f>
        <v>North</v>
      </c>
    </row>
    <row r="320" spans="1:15" x14ac:dyDescent="0.3">
      <c r="A320" s="11" t="s">
        <v>538</v>
      </c>
      <c r="B320" s="11" t="s">
        <v>233</v>
      </c>
      <c r="C320" s="11" t="s">
        <v>12</v>
      </c>
      <c r="D320" s="11" t="s">
        <v>13</v>
      </c>
      <c r="E320" s="11" t="s">
        <v>81</v>
      </c>
      <c r="F320" s="5">
        <v>7500000</v>
      </c>
      <c r="G320" s="18">
        <v>0.22</v>
      </c>
      <c r="H320" s="14">
        <v>18</v>
      </c>
      <c r="I320" s="3">
        <v>45326</v>
      </c>
      <c r="J320" s="11" t="s">
        <v>14</v>
      </c>
      <c r="K320" s="12" t="s">
        <v>793</v>
      </c>
      <c r="L320" s="12" t="s">
        <v>803</v>
      </c>
      <c r="M320" s="7">
        <v>75000000</v>
      </c>
      <c r="N320" s="12" t="str">
        <f t="shared" si="4"/>
        <v>NORMAL</v>
      </c>
      <c r="O320" t="str">
        <f>_xlfn.XLOOKUP(C320,[1]branches!$A$2:$A$11,[1]branches!$D$2:$D$11,"No apecified")</f>
        <v>North</v>
      </c>
    </row>
    <row r="321" spans="1:15" x14ac:dyDescent="0.3">
      <c r="A321" s="13" t="s">
        <v>539</v>
      </c>
      <c r="B321" s="13" t="s">
        <v>190</v>
      </c>
      <c r="C321" s="13" t="s">
        <v>42</v>
      </c>
      <c r="D321" s="13" t="s">
        <v>43</v>
      </c>
      <c r="E321" s="13" t="s">
        <v>81</v>
      </c>
      <c r="F321" s="6">
        <v>10000000</v>
      </c>
      <c r="G321" s="19">
        <v>0.22</v>
      </c>
      <c r="H321" s="15">
        <v>36</v>
      </c>
      <c r="I321" s="4">
        <v>45612</v>
      </c>
      <c r="J321" s="13" t="s">
        <v>33</v>
      </c>
      <c r="K321" s="12" t="s">
        <v>798</v>
      </c>
      <c r="L321" s="12" t="s">
        <v>809</v>
      </c>
      <c r="M321" s="7">
        <v>40000000</v>
      </c>
      <c r="N321" s="12" t="str">
        <f t="shared" si="4"/>
        <v>NORMAL</v>
      </c>
      <c r="O321" t="str">
        <f>_xlfn.XLOOKUP(C321,[1]branches!$A$2:$A$11,[1]branches!$D$2:$D$11,"No apecified")</f>
        <v>North</v>
      </c>
    </row>
    <row r="322" spans="1:15" x14ac:dyDescent="0.3">
      <c r="A322" s="11" t="s">
        <v>540</v>
      </c>
      <c r="B322" s="11" t="s">
        <v>205</v>
      </c>
      <c r="C322" s="11" t="s">
        <v>60</v>
      </c>
      <c r="D322" s="11" t="s">
        <v>69</v>
      </c>
      <c r="E322" s="11" t="s">
        <v>81</v>
      </c>
      <c r="F322" s="5">
        <v>2000000</v>
      </c>
      <c r="G322" s="18">
        <v>0.16</v>
      </c>
      <c r="H322" s="14">
        <v>6</v>
      </c>
      <c r="I322" s="3">
        <v>45463</v>
      </c>
      <c r="J322" s="11" t="s">
        <v>33</v>
      </c>
      <c r="K322" s="12" t="s">
        <v>802</v>
      </c>
      <c r="L322" s="12" t="s">
        <v>815</v>
      </c>
      <c r="M322" s="7">
        <v>75000000</v>
      </c>
      <c r="N322" s="12" t="str">
        <f t="shared" ref="N322:N385" si="5">IF(AND(J322="Defaulted",F322&gt;2000000), "HIGH RISK", IF(J322="Defaulted", "AT RISK", "NORMAL"))</f>
        <v>NORMAL</v>
      </c>
      <c r="O322" t="str">
        <f>_xlfn.XLOOKUP(C322,[1]branches!$A$2:$A$11,[1]branches!$D$2:$D$11,"No apecified")</f>
        <v>North</v>
      </c>
    </row>
    <row r="323" spans="1:15" x14ac:dyDescent="0.3">
      <c r="A323" s="13" t="s">
        <v>541</v>
      </c>
      <c r="B323" s="13" t="s">
        <v>542</v>
      </c>
      <c r="C323" s="13" t="s">
        <v>50</v>
      </c>
      <c r="D323" s="13" t="s">
        <v>51</v>
      </c>
      <c r="E323" s="13" t="s">
        <v>39</v>
      </c>
      <c r="F323" s="6">
        <v>5000000</v>
      </c>
      <c r="G323" s="19">
        <v>0.2</v>
      </c>
      <c r="H323" s="15">
        <v>36</v>
      </c>
      <c r="I323" s="4">
        <v>45595</v>
      </c>
      <c r="J323" s="13" t="s">
        <v>14</v>
      </c>
      <c r="K323" s="12" t="s">
        <v>800</v>
      </c>
      <c r="L323" s="12" t="s">
        <v>811</v>
      </c>
      <c r="M323" s="7">
        <v>75000000</v>
      </c>
      <c r="N323" s="12" t="str">
        <f t="shared" si="5"/>
        <v>NORMAL</v>
      </c>
      <c r="O323" t="str">
        <f>_xlfn.XLOOKUP(C323,[1]branches!$A$2:$A$11,[1]branches!$D$2:$D$11,"No apecified")</f>
        <v>South-West</v>
      </c>
    </row>
    <row r="324" spans="1:15" x14ac:dyDescent="0.3">
      <c r="A324" s="11" t="s">
        <v>543</v>
      </c>
      <c r="B324" s="11" t="s">
        <v>11</v>
      </c>
      <c r="C324" s="11" t="s">
        <v>12</v>
      </c>
      <c r="D324" s="11" t="s">
        <v>13</v>
      </c>
      <c r="E324" s="11" t="s">
        <v>81</v>
      </c>
      <c r="F324" s="5">
        <v>750000</v>
      </c>
      <c r="G324" s="18">
        <v>0.16</v>
      </c>
      <c r="H324" s="14">
        <v>12</v>
      </c>
      <c r="I324" s="3">
        <v>45399</v>
      </c>
      <c r="J324" s="11" t="s">
        <v>14</v>
      </c>
      <c r="K324" s="12" t="s">
        <v>793</v>
      </c>
      <c r="L324" s="12" t="s">
        <v>803</v>
      </c>
      <c r="M324" s="7">
        <v>75000000</v>
      </c>
      <c r="N324" s="12" t="str">
        <f t="shared" si="5"/>
        <v>NORMAL</v>
      </c>
      <c r="O324" t="str">
        <f>_xlfn.XLOOKUP(C324,[1]branches!$A$2:$A$11,[1]branches!$D$2:$D$11,"No apecified")</f>
        <v>North</v>
      </c>
    </row>
    <row r="325" spans="1:15" x14ac:dyDescent="0.3">
      <c r="A325" s="13" t="s">
        <v>544</v>
      </c>
      <c r="B325" s="13" t="s">
        <v>545</v>
      </c>
      <c r="C325" s="13" t="s">
        <v>60</v>
      </c>
      <c r="D325" s="13" t="s">
        <v>69</v>
      </c>
      <c r="E325" s="13" t="s">
        <v>81</v>
      </c>
      <c r="F325" s="6">
        <v>1000000</v>
      </c>
      <c r="G325" s="19">
        <v>0.18</v>
      </c>
      <c r="H325" s="15">
        <v>12</v>
      </c>
      <c r="I325" s="4">
        <v>45642</v>
      </c>
      <c r="J325" s="13" t="s">
        <v>14</v>
      </c>
      <c r="K325" s="12" t="s">
        <v>802</v>
      </c>
      <c r="L325" s="12" t="s">
        <v>815</v>
      </c>
      <c r="M325" s="7">
        <v>75000000</v>
      </c>
      <c r="N325" s="12" t="str">
        <f t="shared" si="5"/>
        <v>NORMAL</v>
      </c>
      <c r="O325" t="str">
        <f>_xlfn.XLOOKUP(C325,[1]branches!$A$2:$A$11,[1]branches!$D$2:$D$11,"No apecified")</f>
        <v>North</v>
      </c>
    </row>
    <row r="326" spans="1:15" x14ac:dyDescent="0.3">
      <c r="A326" s="11" t="s">
        <v>546</v>
      </c>
      <c r="B326" s="11" t="s">
        <v>281</v>
      </c>
      <c r="C326" s="11" t="s">
        <v>42</v>
      </c>
      <c r="D326" s="11" t="s">
        <v>282</v>
      </c>
      <c r="E326" s="11" t="s">
        <v>39</v>
      </c>
      <c r="F326" s="5">
        <v>3000000</v>
      </c>
      <c r="G326" s="18">
        <v>0.24</v>
      </c>
      <c r="H326" s="14">
        <v>36</v>
      </c>
      <c r="I326" s="3">
        <v>45416</v>
      </c>
      <c r="J326" s="11" t="s">
        <v>14</v>
      </c>
      <c r="K326" s="12" t="s">
        <v>798</v>
      </c>
      <c r="L326" s="12" t="s">
        <v>822</v>
      </c>
      <c r="M326" s="7">
        <v>50000000</v>
      </c>
      <c r="N326" s="12" t="str">
        <f t="shared" si="5"/>
        <v>NORMAL</v>
      </c>
      <c r="O326" t="str">
        <f>_xlfn.XLOOKUP(C326,[1]branches!$A$2:$A$11,[1]branches!$D$2:$D$11,"No apecified")</f>
        <v>North</v>
      </c>
    </row>
    <row r="327" spans="1:15" x14ac:dyDescent="0.3">
      <c r="A327" s="13" t="s">
        <v>547</v>
      </c>
      <c r="B327" s="13" t="s">
        <v>432</v>
      </c>
      <c r="C327" s="13" t="s">
        <v>42</v>
      </c>
      <c r="D327" s="13" t="s">
        <v>282</v>
      </c>
      <c r="E327" s="13" t="s">
        <v>760</v>
      </c>
      <c r="F327" s="6">
        <v>750000</v>
      </c>
      <c r="G327" s="19">
        <v>0.2</v>
      </c>
      <c r="H327" s="15">
        <v>12</v>
      </c>
      <c r="I327" s="4">
        <v>45503</v>
      </c>
      <c r="J327" s="13" t="s">
        <v>19</v>
      </c>
      <c r="K327" s="12" t="s">
        <v>798</v>
      </c>
      <c r="L327" s="12" t="s">
        <v>822</v>
      </c>
      <c r="M327" s="7">
        <v>50000000</v>
      </c>
      <c r="N327" s="12" t="str">
        <f t="shared" si="5"/>
        <v>AT RISK</v>
      </c>
      <c r="O327" t="str">
        <f>_xlfn.XLOOKUP(C327,[1]branches!$A$2:$A$11,[1]branches!$D$2:$D$11,"No apecified")</f>
        <v>North</v>
      </c>
    </row>
    <row r="328" spans="1:15" x14ac:dyDescent="0.3">
      <c r="A328" s="11" t="s">
        <v>548</v>
      </c>
      <c r="B328" s="11" t="s">
        <v>344</v>
      </c>
      <c r="C328" s="11" t="s">
        <v>22</v>
      </c>
      <c r="D328" s="11" t="s">
        <v>30</v>
      </c>
      <c r="E328" s="11" t="s">
        <v>39</v>
      </c>
      <c r="F328" s="5">
        <v>750000</v>
      </c>
      <c r="G328" s="18">
        <v>0.22</v>
      </c>
      <c r="H328" s="14">
        <v>6</v>
      </c>
      <c r="I328" s="3">
        <v>45355</v>
      </c>
      <c r="J328" s="11" t="s">
        <v>33</v>
      </c>
      <c r="K328" s="12" t="s">
        <v>795</v>
      </c>
      <c r="L328" s="12" t="s">
        <v>807</v>
      </c>
      <c r="M328" s="7">
        <v>30000000</v>
      </c>
      <c r="N328" s="12" t="str">
        <f t="shared" si="5"/>
        <v>NORMAL</v>
      </c>
      <c r="O328" t="str">
        <f>_xlfn.XLOOKUP(C328,[1]branches!$A$2:$A$11,[1]branches!$D$2:$D$11,"No apecified")</f>
        <v>North</v>
      </c>
    </row>
    <row r="329" spans="1:15" x14ac:dyDescent="0.3">
      <c r="A329" s="13" t="s">
        <v>549</v>
      </c>
      <c r="B329" s="13" t="s">
        <v>550</v>
      </c>
      <c r="C329" s="13" t="s">
        <v>42</v>
      </c>
      <c r="D329" s="13" t="s">
        <v>282</v>
      </c>
      <c r="E329" s="13" t="s">
        <v>760</v>
      </c>
      <c r="F329" s="6">
        <v>7500000</v>
      </c>
      <c r="G329" s="19">
        <v>0.2</v>
      </c>
      <c r="H329" s="15">
        <v>18</v>
      </c>
      <c r="I329" s="4">
        <v>45393</v>
      </c>
      <c r="J329" s="13" t="s">
        <v>14</v>
      </c>
      <c r="K329" s="12" t="s">
        <v>798</v>
      </c>
      <c r="L329" s="12" t="s">
        <v>822</v>
      </c>
      <c r="M329" s="7">
        <v>50000000</v>
      </c>
      <c r="N329" s="12" t="str">
        <f t="shared" si="5"/>
        <v>NORMAL</v>
      </c>
      <c r="O329" t="str">
        <f>_xlfn.XLOOKUP(C329,[1]branches!$A$2:$A$11,[1]branches!$D$2:$D$11,"No apecified")</f>
        <v>North</v>
      </c>
    </row>
    <row r="330" spans="1:15" x14ac:dyDescent="0.3">
      <c r="A330" s="11" t="s">
        <v>551</v>
      </c>
      <c r="B330" s="11" t="s">
        <v>173</v>
      </c>
      <c r="C330" s="11" t="s">
        <v>17</v>
      </c>
      <c r="D330" s="11" t="s">
        <v>18</v>
      </c>
      <c r="E330" s="11" t="s">
        <v>760</v>
      </c>
      <c r="F330" s="5">
        <v>1000000</v>
      </c>
      <c r="G330" s="18">
        <v>0.24</v>
      </c>
      <c r="H330" s="14">
        <v>6</v>
      </c>
      <c r="I330" s="3">
        <v>45560</v>
      </c>
      <c r="J330" s="11" t="s">
        <v>14</v>
      </c>
      <c r="K330" s="12" t="s">
        <v>794</v>
      </c>
      <c r="L330" s="12" t="s">
        <v>804</v>
      </c>
      <c r="M330" s="7">
        <v>75000000</v>
      </c>
      <c r="N330" s="12" t="str">
        <f t="shared" si="5"/>
        <v>NORMAL</v>
      </c>
      <c r="O330" t="str">
        <f>_xlfn.XLOOKUP(C330,[1]branches!$A$2:$A$11,[1]branches!$D$2:$D$11,"No apecified")</f>
        <v>South-South</v>
      </c>
    </row>
    <row r="331" spans="1:15" x14ac:dyDescent="0.3">
      <c r="A331" s="13" t="s">
        <v>552</v>
      </c>
      <c r="B331" s="13" t="s">
        <v>287</v>
      </c>
      <c r="C331" s="13" t="s">
        <v>12</v>
      </c>
      <c r="D331" s="13" t="s">
        <v>145</v>
      </c>
      <c r="E331" s="13" t="s">
        <v>39</v>
      </c>
      <c r="F331" s="6">
        <v>5000000</v>
      </c>
      <c r="G331" s="19">
        <v>0.18</v>
      </c>
      <c r="H331" s="15">
        <v>6</v>
      </c>
      <c r="I331" s="4">
        <v>45527</v>
      </c>
      <c r="J331" s="13" t="s">
        <v>14</v>
      </c>
      <c r="K331" s="12" t="s">
        <v>793</v>
      </c>
      <c r="L331" s="12" t="s">
        <v>820</v>
      </c>
      <c r="M331" s="7">
        <v>40000000</v>
      </c>
      <c r="N331" s="12" t="str">
        <f t="shared" si="5"/>
        <v>NORMAL</v>
      </c>
      <c r="O331" t="str">
        <f>_xlfn.XLOOKUP(C331,[1]branches!$A$2:$A$11,[1]branches!$D$2:$D$11,"No apecified")</f>
        <v>North</v>
      </c>
    </row>
    <row r="332" spans="1:15" x14ac:dyDescent="0.3">
      <c r="A332" s="11" t="s">
        <v>553</v>
      </c>
      <c r="B332" s="11" t="s">
        <v>312</v>
      </c>
      <c r="C332" s="11" t="s">
        <v>46</v>
      </c>
      <c r="D332" s="11" t="s">
        <v>96</v>
      </c>
      <c r="E332" s="11" t="s">
        <v>760</v>
      </c>
      <c r="F332" s="5">
        <v>10000000</v>
      </c>
      <c r="G332" s="18">
        <v>0.16</v>
      </c>
      <c r="H332" s="14">
        <v>24</v>
      </c>
      <c r="I332" s="3">
        <v>45527</v>
      </c>
      <c r="J332" s="11" t="s">
        <v>33</v>
      </c>
      <c r="K332" s="12" t="s">
        <v>799</v>
      </c>
      <c r="L332" s="12" t="s">
        <v>817</v>
      </c>
      <c r="M332" s="7">
        <v>40000000</v>
      </c>
      <c r="N332" s="12" t="str">
        <f t="shared" si="5"/>
        <v>NORMAL</v>
      </c>
      <c r="O332" t="str">
        <f>_xlfn.XLOOKUP(C332,[1]branches!$A$2:$A$11,[1]branches!$D$2:$D$11,"No apecified")</f>
        <v>South-West</v>
      </c>
    </row>
    <row r="333" spans="1:15" x14ac:dyDescent="0.3">
      <c r="A333" s="13" t="s">
        <v>554</v>
      </c>
      <c r="B333" s="13" t="s">
        <v>334</v>
      </c>
      <c r="C333" s="13" t="s">
        <v>60</v>
      </c>
      <c r="D333" s="13" t="s">
        <v>69</v>
      </c>
      <c r="E333" s="13" t="s">
        <v>39</v>
      </c>
      <c r="F333" s="6">
        <v>2000000</v>
      </c>
      <c r="G333" s="19">
        <v>0.22</v>
      </c>
      <c r="H333" s="15">
        <v>12</v>
      </c>
      <c r="I333" s="4">
        <v>45397</v>
      </c>
      <c r="J333" s="13" t="s">
        <v>33</v>
      </c>
      <c r="K333" s="12" t="s">
        <v>802</v>
      </c>
      <c r="L333" s="12" t="s">
        <v>815</v>
      </c>
      <c r="M333" s="7">
        <v>75000000</v>
      </c>
      <c r="N333" s="12" t="str">
        <f t="shared" si="5"/>
        <v>NORMAL</v>
      </c>
      <c r="O333" t="str">
        <f>_xlfn.XLOOKUP(C333,[1]branches!$A$2:$A$11,[1]branches!$D$2:$D$11,"No apecified")</f>
        <v>North</v>
      </c>
    </row>
    <row r="334" spans="1:15" x14ac:dyDescent="0.3">
      <c r="A334" s="11" t="s">
        <v>555</v>
      </c>
      <c r="B334" s="11" t="s">
        <v>556</v>
      </c>
      <c r="C334" s="11" t="s">
        <v>60</v>
      </c>
      <c r="D334" s="11" t="s">
        <v>61</v>
      </c>
      <c r="E334" s="11" t="s">
        <v>39</v>
      </c>
      <c r="F334" s="5">
        <v>750000</v>
      </c>
      <c r="G334" s="18">
        <v>0.24</v>
      </c>
      <c r="H334" s="14">
        <v>18</v>
      </c>
      <c r="I334" s="3">
        <v>45502</v>
      </c>
      <c r="J334" s="11" t="s">
        <v>14</v>
      </c>
      <c r="K334" s="12" t="s">
        <v>802</v>
      </c>
      <c r="L334" s="12" t="s">
        <v>813</v>
      </c>
      <c r="M334" s="7">
        <v>75000000</v>
      </c>
      <c r="N334" s="12" t="str">
        <f t="shared" si="5"/>
        <v>NORMAL</v>
      </c>
      <c r="O334" t="str">
        <f>_xlfn.XLOOKUP(C334,[1]branches!$A$2:$A$11,[1]branches!$D$2:$D$11,"No apecified")</f>
        <v>North</v>
      </c>
    </row>
    <row r="335" spans="1:15" x14ac:dyDescent="0.3">
      <c r="A335" s="13" t="s">
        <v>557</v>
      </c>
      <c r="B335" s="13" t="s">
        <v>322</v>
      </c>
      <c r="C335" s="13" t="s">
        <v>46</v>
      </c>
      <c r="D335" s="13" t="s">
        <v>96</v>
      </c>
      <c r="E335" s="13" t="s">
        <v>760</v>
      </c>
      <c r="F335" s="6">
        <v>1500000</v>
      </c>
      <c r="G335" s="19">
        <v>0.22</v>
      </c>
      <c r="H335" s="15">
        <v>24</v>
      </c>
      <c r="I335" s="4">
        <v>45639</v>
      </c>
      <c r="J335" s="13" t="s">
        <v>14</v>
      </c>
      <c r="K335" s="12" t="s">
        <v>799</v>
      </c>
      <c r="L335" s="12" t="s">
        <v>817</v>
      </c>
      <c r="M335" s="7">
        <v>40000000</v>
      </c>
      <c r="N335" s="12" t="str">
        <f t="shared" si="5"/>
        <v>NORMAL</v>
      </c>
      <c r="O335" t="str">
        <f>_xlfn.XLOOKUP(C335,[1]branches!$A$2:$A$11,[1]branches!$D$2:$D$11,"No apecified")</f>
        <v>South-West</v>
      </c>
    </row>
    <row r="336" spans="1:15" x14ac:dyDescent="0.3">
      <c r="A336" s="11" t="s">
        <v>558</v>
      </c>
      <c r="B336" s="11" t="s">
        <v>559</v>
      </c>
      <c r="C336" s="11" t="s">
        <v>50</v>
      </c>
      <c r="D336" s="11" t="s">
        <v>51</v>
      </c>
      <c r="E336" s="11" t="s">
        <v>39</v>
      </c>
      <c r="F336" s="5">
        <v>3000000</v>
      </c>
      <c r="G336" s="18">
        <v>0.22</v>
      </c>
      <c r="H336" s="14">
        <v>6</v>
      </c>
      <c r="I336" s="3">
        <v>45312</v>
      </c>
      <c r="J336" s="11" t="s">
        <v>33</v>
      </c>
      <c r="K336" s="12" t="s">
        <v>800</v>
      </c>
      <c r="L336" s="12" t="s">
        <v>811</v>
      </c>
      <c r="M336" s="7">
        <v>75000000</v>
      </c>
      <c r="N336" s="12" t="str">
        <f t="shared" si="5"/>
        <v>NORMAL</v>
      </c>
      <c r="O336" t="str">
        <f>_xlfn.XLOOKUP(C336,[1]branches!$A$2:$A$11,[1]branches!$D$2:$D$11,"No apecified")</f>
        <v>South-West</v>
      </c>
    </row>
    <row r="337" spans="1:15" x14ac:dyDescent="0.3">
      <c r="A337" s="13" t="s">
        <v>560</v>
      </c>
      <c r="B337" s="13" t="s">
        <v>561</v>
      </c>
      <c r="C337" s="13" t="s">
        <v>50</v>
      </c>
      <c r="D337" s="13" t="s">
        <v>134</v>
      </c>
      <c r="E337" s="13" t="s">
        <v>760</v>
      </c>
      <c r="F337" s="6">
        <v>2000000</v>
      </c>
      <c r="G337" s="19">
        <v>0.22</v>
      </c>
      <c r="H337" s="15">
        <v>12</v>
      </c>
      <c r="I337" s="4">
        <v>45575</v>
      </c>
      <c r="J337" s="13" t="s">
        <v>19</v>
      </c>
      <c r="K337" s="12" t="s">
        <v>800</v>
      </c>
      <c r="L337" s="12" t="s">
        <v>819</v>
      </c>
      <c r="M337" s="7">
        <v>75000000</v>
      </c>
      <c r="N337" s="12" t="str">
        <f t="shared" si="5"/>
        <v>AT RISK</v>
      </c>
      <c r="O337" t="str">
        <f>_xlfn.XLOOKUP(C337,[1]branches!$A$2:$A$11,[1]branches!$D$2:$D$11,"No apecified")</f>
        <v>South-West</v>
      </c>
    </row>
    <row r="338" spans="1:15" x14ac:dyDescent="0.3">
      <c r="A338" s="11" t="s">
        <v>562</v>
      </c>
      <c r="B338" s="11" t="s">
        <v>169</v>
      </c>
      <c r="C338" s="11" t="s">
        <v>36</v>
      </c>
      <c r="D338" s="11" t="s">
        <v>37</v>
      </c>
      <c r="E338" s="11" t="s">
        <v>760</v>
      </c>
      <c r="F338" s="5">
        <v>10000000</v>
      </c>
      <c r="G338" s="18">
        <v>0.24</v>
      </c>
      <c r="H338" s="14">
        <v>12</v>
      </c>
      <c r="I338" s="3">
        <v>45340</v>
      </c>
      <c r="J338" s="11" t="s">
        <v>33</v>
      </c>
      <c r="K338" s="12" t="s">
        <v>797</v>
      </c>
      <c r="L338" s="12" t="s">
        <v>808</v>
      </c>
      <c r="M338" s="7">
        <v>40000000</v>
      </c>
      <c r="N338" s="12" t="str">
        <f t="shared" si="5"/>
        <v>NORMAL</v>
      </c>
      <c r="O338" t="str">
        <f>_xlfn.XLOOKUP(C338,[1]branches!$A$2:$A$11,[1]branches!$D$2:$D$11,"No apecified")</f>
        <v>South-South</v>
      </c>
    </row>
    <row r="339" spans="1:15" x14ac:dyDescent="0.3">
      <c r="A339" s="13" t="s">
        <v>563</v>
      </c>
      <c r="B339" s="13" t="s">
        <v>564</v>
      </c>
      <c r="C339" s="13" t="s">
        <v>60</v>
      </c>
      <c r="D339" s="13" t="s">
        <v>61</v>
      </c>
      <c r="E339" s="13" t="s">
        <v>81</v>
      </c>
      <c r="F339" s="6">
        <v>7500000</v>
      </c>
      <c r="G339" s="19">
        <v>0.18</v>
      </c>
      <c r="H339" s="15">
        <v>6</v>
      </c>
      <c r="I339" s="4">
        <v>45369</v>
      </c>
      <c r="J339" s="13" t="s">
        <v>33</v>
      </c>
      <c r="K339" s="12" t="s">
        <v>802</v>
      </c>
      <c r="L339" s="12" t="s">
        <v>813</v>
      </c>
      <c r="M339" s="7">
        <v>75000000</v>
      </c>
      <c r="N339" s="12" t="str">
        <f t="shared" si="5"/>
        <v>NORMAL</v>
      </c>
      <c r="O339" t="str">
        <f>_xlfn.XLOOKUP(C339,[1]branches!$A$2:$A$11,[1]branches!$D$2:$D$11,"No apecified")</f>
        <v>North</v>
      </c>
    </row>
    <row r="340" spans="1:15" x14ac:dyDescent="0.3">
      <c r="A340" s="11" t="s">
        <v>565</v>
      </c>
      <c r="B340" s="11" t="s">
        <v>239</v>
      </c>
      <c r="C340" s="11" t="s">
        <v>17</v>
      </c>
      <c r="D340" s="11" t="s">
        <v>148</v>
      </c>
      <c r="E340" s="11" t="s">
        <v>760</v>
      </c>
      <c r="F340" s="5">
        <v>7500000</v>
      </c>
      <c r="G340" s="18">
        <v>0.16</v>
      </c>
      <c r="H340" s="14">
        <v>24</v>
      </c>
      <c r="I340" s="3">
        <v>45312</v>
      </c>
      <c r="J340" s="11" t="s">
        <v>14</v>
      </c>
      <c r="K340" s="12" t="s">
        <v>794</v>
      </c>
      <c r="L340" s="12" t="s">
        <v>821</v>
      </c>
      <c r="M340" s="7">
        <v>40000000</v>
      </c>
      <c r="N340" s="12" t="str">
        <f t="shared" si="5"/>
        <v>NORMAL</v>
      </c>
      <c r="O340" t="str">
        <f>_xlfn.XLOOKUP(C340,[1]branches!$A$2:$A$11,[1]branches!$D$2:$D$11,"No apecified")</f>
        <v>South-South</v>
      </c>
    </row>
    <row r="341" spans="1:15" x14ac:dyDescent="0.3">
      <c r="A341" s="13" t="s">
        <v>566</v>
      </c>
      <c r="B341" s="13" t="s">
        <v>435</v>
      </c>
      <c r="C341" s="13" t="s">
        <v>26</v>
      </c>
      <c r="D341" s="13" t="s">
        <v>27</v>
      </c>
      <c r="E341" s="13" t="s">
        <v>760</v>
      </c>
      <c r="F341" s="6">
        <v>500000</v>
      </c>
      <c r="G341" s="19">
        <v>0.2</v>
      </c>
      <c r="H341" s="15">
        <v>24</v>
      </c>
      <c r="I341" s="4">
        <v>45341</v>
      </c>
      <c r="J341" s="13" t="s">
        <v>19</v>
      </c>
      <c r="K341" s="12" t="s">
        <v>796</v>
      </c>
      <c r="L341" s="12" t="s">
        <v>806</v>
      </c>
      <c r="M341" s="7">
        <v>50000000</v>
      </c>
      <c r="N341" s="12" t="str">
        <f t="shared" si="5"/>
        <v>AT RISK</v>
      </c>
      <c r="O341" t="str">
        <f>_xlfn.XLOOKUP(C341,[1]branches!$A$2:$A$11,[1]branches!$D$2:$D$11,"No apecified")</f>
        <v>North</v>
      </c>
    </row>
    <row r="342" spans="1:15" x14ac:dyDescent="0.3">
      <c r="A342" s="11" t="s">
        <v>567</v>
      </c>
      <c r="B342" s="11" t="s">
        <v>166</v>
      </c>
      <c r="C342" s="11" t="s">
        <v>42</v>
      </c>
      <c r="D342" s="11" t="s">
        <v>43</v>
      </c>
      <c r="E342" s="11" t="s">
        <v>760</v>
      </c>
      <c r="F342" s="5">
        <v>7500000</v>
      </c>
      <c r="G342" s="18">
        <v>0.2</v>
      </c>
      <c r="H342" s="14">
        <v>36</v>
      </c>
      <c r="I342" s="3">
        <v>45312</v>
      </c>
      <c r="J342" s="11" t="s">
        <v>14</v>
      </c>
      <c r="K342" s="12" t="s">
        <v>798</v>
      </c>
      <c r="L342" s="12" t="s">
        <v>809</v>
      </c>
      <c r="M342" s="7">
        <v>40000000</v>
      </c>
      <c r="N342" s="12" t="str">
        <f t="shared" si="5"/>
        <v>NORMAL</v>
      </c>
      <c r="O342" t="str">
        <f>_xlfn.XLOOKUP(C342,[1]branches!$A$2:$A$11,[1]branches!$D$2:$D$11,"No apecified")</f>
        <v>North</v>
      </c>
    </row>
    <row r="343" spans="1:15" x14ac:dyDescent="0.3">
      <c r="A343" s="13" t="s">
        <v>568</v>
      </c>
      <c r="B343" s="13" t="s">
        <v>569</v>
      </c>
      <c r="C343" s="13" t="s">
        <v>26</v>
      </c>
      <c r="D343" s="13" t="s">
        <v>27</v>
      </c>
      <c r="E343" s="13" t="s">
        <v>39</v>
      </c>
      <c r="F343" s="6">
        <v>7500000</v>
      </c>
      <c r="G343" s="19">
        <v>0.22</v>
      </c>
      <c r="H343" s="15">
        <v>24</v>
      </c>
      <c r="I343" s="4">
        <v>45625</v>
      </c>
      <c r="J343" s="13" t="s">
        <v>14</v>
      </c>
      <c r="K343" s="12" t="s">
        <v>796</v>
      </c>
      <c r="L343" s="12" t="s">
        <v>806</v>
      </c>
      <c r="M343" s="7">
        <v>50000000</v>
      </c>
      <c r="N343" s="12" t="str">
        <f t="shared" si="5"/>
        <v>NORMAL</v>
      </c>
      <c r="O343" t="str">
        <f>_xlfn.XLOOKUP(C343,[1]branches!$A$2:$A$11,[1]branches!$D$2:$D$11,"No apecified")</f>
        <v>North</v>
      </c>
    </row>
    <row r="344" spans="1:15" x14ac:dyDescent="0.3">
      <c r="A344" s="11" t="s">
        <v>570</v>
      </c>
      <c r="B344" s="11" t="s">
        <v>529</v>
      </c>
      <c r="C344" s="11" t="s">
        <v>46</v>
      </c>
      <c r="D344" s="11" t="s">
        <v>47</v>
      </c>
      <c r="E344" s="11" t="s">
        <v>39</v>
      </c>
      <c r="F344" s="5">
        <v>3000000</v>
      </c>
      <c r="G344" s="18">
        <v>0.24</v>
      </c>
      <c r="H344" s="14">
        <v>36</v>
      </c>
      <c r="I344" s="3">
        <v>45306</v>
      </c>
      <c r="J344" s="11" t="s">
        <v>33</v>
      </c>
      <c r="K344" s="12" t="s">
        <v>799</v>
      </c>
      <c r="L344" s="12" t="s">
        <v>810</v>
      </c>
      <c r="M344" s="7">
        <v>30000000</v>
      </c>
      <c r="N344" s="12" t="str">
        <f t="shared" si="5"/>
        <v>NORMAL</v>
      </c>
      <c r="O344" t="str">
        <f>_xlfn.XLOOKUP(C344,[1]branches!$A$2:$A$11,[1]branches!$D$2:$D$11,"No apecified")</f>
        <v>South-West</v>
      </c>
    </row>
    <row r="345" spans="1:15" x14ac:dyDescent="0.3">
      <c r="A345" s="13" t="s">
        <v>571</v>
      </c>
      <c r="B345" s="13" t="s">
        <v>572</v>
      </c>
      <c r="C345" s="13" t="s">
        <v>42</v>
      </c>
      <c r="D345" s="13" t="s">
        <v>282</v>
      </c>
      <c r="E345" s="13" t="s">
        <v>39</v>
      </c>
      <c r="F345" s="6">
        <v>10000000</v>
      </c>
      <c r="G345" s="19">
        <v>0.2</v>
      </c>
      <c r="H345" s="15">
        <v>12</v>
      </c>
      <c r="I345" s="4">
        <v>45565</v>
      </c>
      <c r="J345" s="13" t="s">
        <v>33</v>
      </c>
      <c r="K345" s="12" t="s">
        <v>798</v>
      </c>
      <c r="L345" s="12" t="s">
        <v>822</v>
      </c>
      <c r="M345" s="7">
        <v>50000000</v>
      </c>
      <c r="N345" s="12" t="str">
        <f t="shared" si="5"/>
        <v>NORMAL</v>
      </c>
      <c r="O345" t="str">
        <f>_xlfn.XLOOKUP(C345,[1]branches!$A$2:$A$11,[1]branches!$D$2:$D$11,"No apecified")</f>
        <v>North</v>
      </c>
    </row>
    <row r="346" spans="1:15" x14ac:dyDescent="0.3">
      <c r="A346" s="11" t="s">
        <v>573</v>
      </c>
      <c r="B346" s="11" t="s">
        <v>574</v>
      </c>
      <c r="C346" s="11" t="s">
        <v>36</v>
      </c>
      <c r="D346" s="11" t="s">
        <v>37</v>
      </c>
      <c r="E346" s="11" t="s">
        <v>39</v>
      </c>
      <c r="F346" s="5">
        <v>2000000</v>
      </c>
      <c r="G346" s="18">
        <v>0.2</v>
      </c>
      <c r="H346" s="14">
        <v>18</v>
      </c>
      <c r="I346" s="3">
        <v>45627</v>
      </c>
      <c r="J346" s="11" t="s">
        <v>19</v>
      </c>
      <c r="K346" s="12" t="s">
        <v>797</v>
      </c>
      <c r="L346" s="12" t="s">
        <v>808</v>
      </c>
      <c r="M346" s="7">
        <v>40000000</v>
      </c>
      <c r="N346" s="12" t="str">
        <f t="shared" si="5"/>
        <v>AT RISK</v>
      </c>
      <c r="O346" t="str">
        <f>_xlfn.XLOOKUP(C346,[1]branches!$A$2:$A$11,[1]branches!$D$2:$D$11,"No apecified")</f>
        <v>South-South</v>
      </c>
    </row>
    <row r="347" spans="1:15" x14ac:dyDescent="0.3">
      <c r="A347" s="13" t="s">
        <v>575</v>
      </c>
      <c r="B347" s="13" t="s">
        <v>300</v>
      </c>
      <c r="C347" s="13" t="s">
        <v>60</v>
      </c>
      <c r="D347" s="13" t="s">
        <v>61</v>
      </c>
      <c r="E347" s="13" t="s">
        <v>760</v>
      </c>
      <c r="F347" s="6">
        <v>7500000</v>
      </c>
      <c r="G347" s="19">
        <v>0.18</v>
      </c>
      <c r="H347" s="15">
        <v>36</v>
      </c>
      <c r="I347" s="4">
        <v>45379</v>
      </c>
      <c r="J347" s="13" t="s">
        <v>14</v>
      </c>
      <c r="K347" s="12" t="s">
        <v>802</v>
      </c>
      <c r="L347" s="12" t="s">
        <v>813</v>
      </c>
      <c r="M347" s="7">
        <v>75000000</v>
      </c>
      <c r="N347" s="12" t="str">
        <f t="shared" si="5"/>
        <v>NORMAL</v>
      </c>
      <c r="O347" t="str">
        <f>_xlfn.XLOOKUP(C347,[1]branches!$A$2:$A$11,[1]branches!$D$2:$D$11,"No apecified")</f>
        <v>North</v>
      </c>
    </row>
    <row r="348" spans="1:15" x14ac:dyDescent="0.3">
      <c r="A348" s="11" t="s">
        <v>576</v>
      </c>
      <c r="B348" s="11" t="s">
        <v>577</v>
      </c>
      <c r="C348" s="11" t="s">
        <v>42</v>
      </c>
      <c r="D348" s="11" t="s">
        <v>282</v>
      </c>
      <c r="E348" s="11" t="s">
        <v>81</v>
      </c>
      <c r="F348" s="5">
        <v>10000000</v>
      </c>
      <c r="G348" s="18">
        <v>0.18</v>
      </c>
      <c r="H348" s="14">
        <v>6</v>
      </c>
      <c r="I348" s="3">
        <v>45609</v>
      </c>
      <c r="J348" s="11" t="s">
        <v>14</v>
      </c>
      <c r="K348" s="12" t="s">
        <v>798</v>
      </c>
      <c r="L348" s="12" t="s">
        <v>822</v>
      </c>
      <c r="M348" s="7">
        <v>50000000</v>
      </c>
      <c r="N348" s="12" t="str">
        <f t="shared" si="5"/>
        <v>NORMAL</v>
      </c>
      <c r="O348" t="str">
        <f>_xlfn.XLOOKUP(C348,[1]branches!$A$2:$A$11,[1]branches!$D$2:$D$11,"No apecified")</f>
        <v>North</v>
      </c>
    </row>
    <row r="349" spans="1:15" x14ac:dyDescent="0.3">
      <c r="A349" s="13" t="s">
        <v>578</v>
      </c>
      <c r="B349" s="13" t="s">
        <v>579</v>
      </c>
      <c r="C349" s="13" t="s">
        <v>26</v>
      </c>
      <c r="D349" s="13" t="s">
        <v>27</v>
      </c>
      <c r="E349" s="13" t="s">
        <v>81</v>
      </c>
      <c r="F349" s="6">
        <v>10000000</v>
      </c>
      <c r="G349" s="19">
        <v>0.16</v>
      </c>
      <c r="H349" s="15">
        <v>24</v>
      </c>
      <c r="I349" s="4">
        <v>45302</v>
      </c>
      <c r="J349" s="13" t="s">
        <v>19</v>
      </c>
      <c r="K349" s="12" t="s">
        <v>796</v>
      </c>
      <c r="L349" s="12" t="s">
        <v>806</v>
      </c>
      <c r="M349" s="7">
        <v>50000000</v>
      </c>
      <c r="N349" s="12" t="str">
        <f t="shared" si="5"/>
        <v>HIGH RISK</v>
      </c>
      <c r="O349" t="str">
        <f>_xlfn.XLOOKUP(C349,[1]branches!$A$2:$A$11,[1]branches!$D$2:$D$11,"No apecified")</f>
        <v>North</v>
      </c>
    </row>
    <row r="350" spans="1:15" x14ac:dyDescent="0.3">
      <c r="A350" s="11" t="s">
        <v>580</v>
      </c>
      <c r="B350" s="11" t="s">
        <v>87</v>
      </c>
      <c r="C350" s="11" t="s">
        <v>22</v>
      </c>
      <c r="D350" s="11" t="s">
        <v>30</v>
      </c>
      <c r="E350" s="11" t="s">
        <v>760</v>
      </c>
      <c r="F350" s="5">
        <v>750000</v>
      </c>
      <c r="G350" s="18">
        <v>0.18</v>
      </c>
      <c r="H350" s="14">
        <v>36</v>
      </c>
      <c r="I350" s="3">
        <v>45353</v>
      </c>
      <c r="J350" s="11" t="s">
        <v>33</v>
      </c>
      <c r="K350" s="12" t="s">
        <v>795</v>
      </c>
      <c r="L350" s="12" t="s">
        <v>807</v>
      </c>
      <c r="M350" s="7">
        <v>30000000</v>
      </c>
      <c r="N350" s="12" t="str">
        <f t="shared" si="5"/>
        <v>NORMAL</v>
      </c>
      <c r="O350" t="str">
        <f>_xlfn.XLOOKUP(C350,[1]branches!$A$2:$A$11,[1]branches!$D$2:$D$11,"No apecified")</f>
        <v>North</v>
      </c>
    </row>
    <row r="351" spans="1:15" x14ac:dyDescent="0.3">
      <c r="A351" s="11" t="s">
        <v>581</v>
      </c>
      <c r="B351" s="11" t="s">
        <v>353</v>
      </c>
      <c r="C351" s="11" t="s">
        <v>12</v>
      </c>
      <c r="D351" s="11" t="s">
        <v>13</v>
      </c>
      <c r="E351" s="11" t="s">
        <v>760</v>
      </c>
      <c r="F351" s="5">
        <v>750000</v>
      </c>
      <c r="G351" s="18">
        <v>0.2</v>
      </c>
      <c r="H351" s="14">
        <v>6</v>
      </c>
      <c r="I351" s="3">
        <v>45414</v>
      </c>
      <c r="J351" s="11" t="s">
        <v>33</v>
      </c>
      <c r="K351" s="12" t="s">
        <v>793</v>
      </c>
      <c r="L351" s="12" t="s">
        <v>803</v>
      </c>
      <c r="M351" s="7">
        <v>75000000</v>
      </c>
      <c r="N351" s="12" t="str">
        <f t="shared" si="5"/>
        <v>NORMAL</v>
      </c>
      <c r="O351" t="str">
        <f>_xlfn.XLOOKUP(C351,[1]branches!$A$2:$A$11,[1]branches!$D$2:$D$11,"No apecified")</f>
        <v>North</v>
      </c>
    </row>
    <row r="352" spans="1:15" x14ac:dyDescent="0.3">
      <c r="A352" s="13" t="s">
        <v>582</v>
      </c>
      <c r="B352" s="13" t="s">
        <v>583</v>
      </c>
      <c r="C352" s="13" t="s">
        <v>26</v>
      </c>
      <c r="D352" s="13" t="s">
        <v>27</v>
      </c>
      <c r="E352" s="13" t="s">
        <v>760</v>
      </c>
      <c r="F352" s="6">
        <v>2000000</v>
      </c>
      <c r="G352" s="19">
        <v>0.24</v>
      </c>
      <c r="H352" s="15">
        <v>18</v>
      </c>
      <c r="I352" s="4">
        <v>45656</v>
      </c>
      <c r="J352" s="13" t="s">
        <v>14</v>
      </c>
      <c r="K352" s="12" t="s">
        <v>796</v>
      </c>
      <c r="L352" s="12" t="s">
        <v>806</v>
      </c>
      <c r="M352" s="7">
        <v>50000000</v>
      </c>
      <c r="N352" s="12" t="str">
        <f t="shared" si="5"/>
        <v>NORMAL</v>
      </c>
      <c r="O352" t="str">
        <f>_xlfn.XLOOKUP(C352,[1]branches!$A$2:$A$11,[1]branches!$D$2:$D$11,"No apecified")</f>
        <v>North</v>
      </c>
    </row>
    <row r="353" spans="1:15" x14ac:dyDescent="0.3">
      <c r="A353" s="11" t="s">
        <v>584</v>
      </c>
      <c r="B353" s="11" t="s">
        <v>585</v>
      </c>
      <c r="C353" s="11" t="s">
        <v>36</v>
      </c>
      <c r="D353" s="11" t="s">
        <v>121</v>
      </c>
      <c r="E353" s="11" t="s">
        <v>81</v>
      </c>
      <c r="F353" s="5">
        <v>1000000</v>
      </c>
      <c r="G353" s="18">
        <v>0.2</v>
      </c>
      <c r="H353" s="14">
        <v>12</v>
      </c>
      <c r="I353" s="3">
        <v>45432</v>
      </c>
      <c r="J353" s="11" t="s">
        <v>33</v>
      </c>
      <c r="K353" s="12" t="s">
        <v>797</v>
      </c>
      <c r="L353" s="12" t="s">
        <v>818</v>
      </c>
      <c r="M353" s="7">
        <v>30000000</v>
      </c>
      <c r="N353" s="12" t="str">
        <f t="shared" si="5"/>
        <v>NORMAL</v>
      </c>
      <c r="O353" t="str">
        <f>_xlfn.XLOOKUP(C353,[1]branches!$A$2:$A$11,[1]branches!$D$2:$D$11,"No apecified")</f>
        <v>South-South</v>
      </c>
    </row>
    <row r="354" spans="1:15" x14ac:dyDescent="0.3">
      <c r="A354" s="13" t="s">
        <v>586</v>
      </c>
      <c r="B354" s="13" t="s">
        <v>114</v>
      </c>
      <c r="C354" s="13" t="s">
        <v>26</v>
      </c>
      <c r="D354" s="13" t="s">
        <v>66</v>
      </c>
      <c r="E354" s="13" t="s">
        <v>39</v>
      </c>
      <c r="F354" s="6">
        <v>10000000</v>
      </c>
      <c r="G354" s="19">
        <v>0.24</v>
      </c>
      <c r="H354" s="15">
        <v>6</v>
      </c>
      <c r="I354" s="4">
        <v>45450</v>
      </c>
      <c r="J354" s="13" t="s">
        <v>14</v>
      </c>
      <c r="K354" s="12" t="s">
        <v>796</v>
      </c>
      <c r="L354" s="12" t="s">
        <v>814</v>
      </c>
      <c r="M354" s="7">
        <v>60000000</v>
      </c>
      <c r="N354" s="12" t="str">
        <f t="shared" si="5"/>
        <v>NORMAL</v>
      </c>
      <c r="O354" t="str">
        <f>_xlfn.XLOOKUP(C354,[1]branches!$A$2:$A$11,[1]branches!$D$2:$D$11,"No apecified")</f>
        <v>North</v>
      </c>
    </row>
    <row r="355" spans="1:15" x14ac:dyDescent="0.3">
      <c r="A355" s="11" t="s">
        <v>587</v>
      </c>
      <c r="B355" s="11" t="s">
        <v>443</v>
      </c>
      <c r="C355" s="11" t="s">
        <v>60</v>
      </c>
      <c r="D355" s="11" t="s">
        <v>61</v>
      </c>
      <c r="E355" s="11" t="s">
        <v>39</v>
      </c>
      <c r="F355" s="5">
        <v>5000000</v>
      </c>
      <c r="G355" s="18">
        <v>0.2</v>
      </c>
      <c r="H355" s="14">
        <v>12</v>
      </c>
      <c r="I355" s="3">
        <v>45651</v>
      </c>
      <c r="J355" s="11" t="s">
        <v>33</v>
      </c>
      <c r="K355" s="12" t="s">
        <v>802</v>
      </c>
      <c r="L355" s="12" t="s">
        <v>813</v>
      </c>
      <c r="M355" s="7">
        <v>75000000</v>
      </c>
      <c r="N355" s="12" t="str">
        <f t="shared" si="5"/>
        <v>NORMAL</v>
      </c>
      <c r="O355" t="str">
        <f>_xlfn.XLOOKUP(C355,[1]branches!$A$2:$A$11,[1]branches!$D$2:$D$11,"No apecified")</f>
        <v>North</v>
      </c>
    </row>
    <row r="356" spans="1:15" x14ac:dyDescent="0.3">
      <c r="A356" s="13" t="s">
        <v>588</v>
      </c>
      <c r="B356" s="13" t="s">
        <v>559</v>
      </c>
      <c r="C356" s="13" t="s">
        <v>50</v>
      </c>
      <c r="D356" s="13" t="s">
        <v>51</v>
      </c>
      <c r="E356" s="13" t="s">
        <v>81</v>
      </c>
      <c r="F356" s="6">
        <v>7500000</v>
      </c>
      <c r="G356" s="19">
        <v>0.24</v>
      </c>
      <c r="H356" s="15">
        <v>6</v>
      </c>
      <c r="I356" s="4">
        <v>45524</v>
      </c>
      <c r="J356" s="13" t="s">
        <v>33</v>
      </c>
      <c r="K356" s="12" t="s">
        <v>800</v>
      </c>
      <c r="L356" s="12" t="s">
        <v>811</v>
      </c>
      <c r="M356" s="7">
        <v>75000000</v>
      </c>
      <c r="N356" s="12" t="str">
        <f t="shared" si="5"/>
        <v>NORMAL</v>
      </c>
      <c r="O356" t="str">
        <f>_xlfn.XLOOKUP(C356,[1]branches!$A$2:$A$11,[1]branches!$D$2:$D$11,"No apecified")</f>
        <v>South-West</v>
      </c>
    </row>
    <row r="357" spans="1:15" x14ac:dyDescent="0.3">
      <c r="A357" s="11" t="s">
        <v>589</v>
      </c>
      <c r="B357" s="11" t="s">
        <v>392</v>
      </c>
      <c r="C357" s="11" t="s">
        <v>50</v>
      </c>
      <c r="D357" s="11" t="s">
        <v>134</v>
      </c>
      <c r="E357" s="11" t="s">
        <v>81</v>
      </c>
      <c r="F357" s="5">
        <v>1000000</v>
      </c>
      <c r="G357" s="18">
        <v>0.18</v>
      </c>
      <c r="H357" s="14">
        <v>18</v>
      </c>
      <c r="I357" s="3">
        <v>45491</v>
      </c>
      <c r="J357" s="11" t="s">
        <v>33</v>
      </c>
      <c r="K357" s="12" t="s">
        <v>800</v>
      </c>
      <c r="L357" s="12" t="s">
        <v>819</v>
      </c>
      <c r="M357" s="7">
        <v>75000000</v>
      </c>
      <c r="N357" s="12" t="str">
        <f t="shared" si="5"/>
        <v>NORMAL</v>
      </c>
      <c r="O357" t="str">
        <f>_xlfn.XLOOKUP(C357,[1]branches!$A$2:$A$11,[1]branches!$D$2:$D$11,"No apecified")</f>
        <v>South-West</v>
      </c>
    </row>
    <row r="358" spans="1:15" x14ac:dyDescent="0.3">
      <c r="A358" s="13" t="s">
        <v>590</v>
      </c>
      <c r="B358" s="13" t="s">
        <v>59</v>
      </c>
      <c r="C358" s="13" t="s">
        <v>60</v>
      </c>
      <c r="D358" s="13" t="s">
        <v>61</v>
      </c>
      <c r="E358" s="13" t="s">
        <v>81</v>
      </c>
      <c r="F358" s="6">
        <v>3000000</v>
      </c>
      <c r="G358" s="19">
        <v>0.22</v>
      </c>
      <c r="H358" s="15">
        <v>24</v>
      </c>
      <c r="I358" s="4">
        <v>45399</v>
      </c>
      <c r="J358" s="13" t="s">
        <v>14</v>
      </c>
      <c r="K358" s="12" t="s">
        <v>802</v>
      </c>
      <c r="L358" s="12" t="s">
        <v>813</v>
      </c>
      <c r="M358" s="7">
        <v>75000000</v>
      </c>
      <c r="N358" s="12" t="str">
        <f t="shared" si="5"/>
        <v>NORMAL</v>
      </c>
      <c r="O358" t="str">
        <f>_xlfn.XLOOKUP(C358,[1]branches!$A$2:$A$11,[1]branches!$D$2:$D$11,"No apecified")</f>
        <v>North</v>
      </c>
    </row>
    <row r="359" spans="1:15" x14ac:dyDescent="0.3">
      <c r="A359" s="11" t="s">
        <v>591</v>
      </c>
      <c r="B359" s="11" t="s">
        <v>140</v>
      </c>
      <c r="C359" s="11" t="s">
        <v>46</v>
      </c>
      <c r="D359" s="11" t="s">
        <v>47</v>
      </c>
      <c r="E359" s="11" t="s">
        <v>39</v>
      </c>
      <c r="F359" s="5">
        <v>10000000</v>
      </c>
      <c r="G359" s="18">
        <v>0.16</v>
      </c>
      <c r="H359" s="14">
        <v>36</v>
      </c>
      <c r="I359" s="3">
        <v>45475</v>
      </c>
      <c r="J359" s="11" t="s">
        <v>14</v>
      </c>
      <c r="K359" s="12" t="s">
        <v>799</v>
      </c>
      <c r="L359" s="12" t="s">
        <v>810</v>
      </c>
      <c r="M359" s="7">
        <v>30000000</v>
      </c>
      <c r="N359" s="12" t="str">
        <f t="shared" si="5"/>
        <v>NORMAL</v>
      </c>
      <c r="O359" t="str">
        <f>_xlfn.XLOOKUP(C359,[1]branches!$A$2:$A$11,[1]branches!$D$2:$D$11,"No apecified")</f>
        <v>South-West</v>
      </c>
    </row>
    <row r="360" spans="1:15" x14ac:dyDescent="0.3">
      <c r="A360" s="13" t="s">
        <v>592</v>
      </c>
      <c r="B360" s="13" t="s">
        <v>462</v>
      </c>
      <c r="C360" s="13" t="s">
        <v>56</v>
      </c>
      <c r="D360" s="13" t="s">
        <v>74</v>
      </c>
      <c r="E360" s="13" t="s">
        <v>39</v>
      </c>
      <c r="F360" s="6">
        <v>2000000</v>
      </c>
      <c r="G360" s="19">
        <v>0.24</v>
      </c>
      <c r="H360" s="15">
        <v>6</v>
      </c>
      <c r="I360" s="4">
        <v>45475</v>
      </c>
      <c r="J360" s="13" t="s">
        <v>33</v>
      </c>
      <c r="K360" s="12" t="s">
        <v>801</v>
      </c>
      <c r="L360" s="12" t="s">
        <v>816</v>
      </c>
      <c r="M360" s="7">
        <v>30000000</v>
      </c>
      <c r="N360" s="12" t="str">
        <f t="shared" si="5"/>
        <v>NORMAL</v>
      </c>
      <c r="O360" t="str">
        <f>_xlfn.XLOOKUP(C360,[1]branches!$A$2:$A$11,[1]branches!$D$2:$D$11,"No apecified")</f>
        <v>South-West</v>
      </c>
    </row>
    <row r="361" spans="1:15" x14ac:dyDescent="0.3">
      <c r="A361" s="11" t="s">
        <v>593</v>
      </c>
      <c r="B361" s="11" t="s">
        <v>569</v>
      </c>
      <c r="C361" s="11" t="s">
        <v>26</v>
      </c>
      <c r="D361" s="11" t="s">
        <v>27</v>
      </c>
      <c r="E361" s="11" t="s">
        <v>760</v>
      </c>
      <c r="F361" s="5">
        <v>5000000</v>
      </c>
      <c r="G361" s="18">
        <v>0.22</v>
      </c>
      <c r="H361" s="14">
        <v>12</v>
      </c>
      <c r="I361" s="3">
        <v>45334</v>
      </c>
      <c r="J361" s="11" t="s">
        <v>19</v>
      </c>
      <c r="K361" s="12" t="s">
        <v>796</v>
      </c>
      <c r="L361" s="12" t="s">
        <v>806</v>
      </c>
      <c r="M361" s="7">
        <v>50000000</v>
      </c>
      <c r="N361" s="12" t="str">
        <f t="shared" si="5"/>
        <v>HIGH RISK</v>
      </c>
      <c r="O361" t="str">
        <f>_xlfn.XLOOKUP(C361,[1]branches!$A$2:$A$11,[1]branches!$D$2:$D$11,"No apecified")</f>
        <v>North</v>
      </c>
    </row>
    <row r="362" spans="1:15" x14ac:dyDescent="0.3">
      <c r="A362" s="13" t="s">
        <v>594</v>
      </c>
      <c r="B362" s="13" t="s">
        <v>595</v>
      </c>
      <c r="C362" s="13" t="s">
        <v>50</v>
      </c>
      <c r="D362" s="13" t="s">
        <v>134</v>
      </c>
      <c r="E362" s="13" t="s">
        <v>39</v>
      </c>
      <c r="F362" s="6">
        <v>1500000</v>
      </c>
      <c r="G362" s="19">
        <v>0.24</v>
      </c>
      <c r="H362" s="15">
        <v>24</v>
      </c>
      <c r="I362" s="4">
        <v>45430</v>
      </c>
      <c r="J362" s="13" t="s">
        <v>33</v>
      </c>
      <c r="K362" s="12" t="s">
        <v>800</v>
      </c>
      <c r="L362" s="12" t="s">
        <v>819</v>
      </c>
      <c r="M362" s="7">
        <v>75000000</v>
      </c>
      <c r="N362" s="12" t="str">
        <f t="shared" si="5"/>
        <v>NORMAL</v>
      </c>
      <c r="O362" t="str">
        <f>_xlfn.XLOOKUP(C362,[1]branches!$A$2:$A$11,[1]branches!$D$2:$D$11,"No apecified")</f>
        <v>South-West</v>
      </c>
    </row>
    <row r="363" spans="1:15" x14ac:dyDescent="0.3">
      <c r="A363" s="11" t="s">
        <v>596</v>
      </c>
      <c r="B363" s="11" t="s">
        <v>376</v>
      </c>
      <c r="C363" s="11" t="s">
        <v>60</v>
      </c>
      <c r="D363" s="11" t="s">
        <v>69</v>
      </c>
      <c r="E363" s="11" t="s">
        <v>39</v>
      </c>
      <c r="F363" s="5">
        <v>10000000</v>
      </c>
      <c r="G363" s="18">
        <v>0.18</v>
      </c>
      <c r="H363" s="14">
        <v>6</v>
      </c>
      <c r="I363" s="3">
        <v>45528</v>
      </c>
      <c r="J363" s="11" t="s">
        <v>14</v>
      </c>
      <c r="K363" s="12" t="s">
        <v>802</v>
      </c>
      <c r="L363" s="12" t="s">
        <v>815</v>
      </c>
      <c r="M363" s="7">
        <v>75000000</v>
      </c>
      <c r="N363" s="12" t="str">
        <f t="shared" si="5"/>
        <v>NORMAL</v>
      </c>
      <c r="O363" t="str">
        <f>_xlfn.XLOOKUP(C363,[1]branches!$A$2:$A$11,[1]branches!$D$2:$D$11,"No apecified")</f>
        <v>North</v>
      </c>
    </row>
    <row r="364" spans="1:15" x14ac:dyDescent="0.3">
      <c r="A364" s="13" t="s">
        <v>597</v>
      </c>
      <c r="B364" s="13" t="s">
        <v>334</v>
      </c>
      <c r="C364" s="13" t="s">
        <v>60</v>
      </c>
      <c r="D364" s="13" t="s">
        <v>69</v>
      </c>
      <c r="E364" s="13" t="s">
        <v>39</v>
      </c>
      <c r="F364" s="6">
        <v>500000</v>
      </c>
      <c r="G364" s="19">
        <v>0.2</v>
      </c>
      <c r="H364" s="15">
        <v>18</v>
      </c>
      <c r="I364" s="4">
        <v>45399</v>
      </c>
      <c r="J364" s="13" t="s">
        <v>33</v>
      </c>
      <c r="K364" s="12" t="s">
        <v>802</v>
      </c>
      <c r="L364" s="12" t="s">
        <v>815</v>
      </c>
      <c r="M364" s="7">
        <v>75000000</v>
      </c>
      <c r="N364" s="12" t="str">
        <f t="shared" si="5"/>
        <v>NORMAL</v>
      </c>
      <c r="O364" t="str">
        <f>_xlfn.XLOOKUP(C364,[1]branches!$A$2:$A$11,[1]branches!$D$2:$D$11,"No apecified")</f>
        <v>North</v>
      </c>
    </row>
    <row r="365" spans="1:15" x14ac:dyDescent="0.3">
      <c r="A365" s="11" t="s">
        <v>598</v>
      </c>
      <c r="B365" s="11" t="s">
        <v>432</v>
      </c>
      <c r="C365" s="11" t="s">
        <v>42</v>
      </c>
      <c r="D365" s="11" t="s">
        <v>282</v>
      </c>
      <c r="E365" s="11" t="s">
        <v>760</v>
      </c>
      <c r="F365" s="5">
        <v>10000000</v>
      </c>
      <c r="G365" s="18">
        <v>0.22</v>
      </c>
      <c r="H365" s="14">
        <v>24</v>
      </c>
      <c r="I365" s="3">
        <v>45515</v>
      </c>
      <c r="J365" s="11" t="s">
        <v>14</v>
      </c>
      <c r="K365" s="12" t="s">
        <v>798</v>
      </c>
      <c r="L365" s="12" t="s">
        <v>822</v>
      </c>
      <c r="M365" s="7">
        <v>50000000</v>
      </c>
      <c r="N365" s="12" t="str">
        <f t="shared" si="5"/>
        <v>NORMAL</v>
      </c>
      <c r="O365" t="str">
        <f>_xlfn.XLOOKUP(C365,[1]branches!$A$2:$A$11,[1]branches!$D$2:$D$11,"No apecified")</f>
        <v>North</v>
      </c>
    </row>
    <row r="366" spans="1:15" x14ac:dyDescent="0.3">
      <c r="A366" s="13" t="s">
        <v>599</v>
      </c>
      <c r="B366" s="13" t="s">
        <v>279</v>
      </c>
      <c r="C366" s="13" t="s">
        <v>60</v>
      </c>
      <c r="D366" s="13" t="s">
        <v>61</v>
      </c>
      <c r="E366" s="13" t="s">
        <v>760</v>
      </c>
      <c r="F366" s="6">
        <v>500000</v>
      </c>
      <c r="G366" s="19">
        <v>0.22</v>
      </c>
      <c r="H366" s="15">
        <v>24</v>
      </c>
      <c r="I366" s="4">
        <v>45648</v>
      </c>
      <c r="J366" s="13" t="s">
        <v>14</v>
      </c>
      <c r="K366" s="12" t="s">
        <v>802</v>
      </c>
      <c r="L366" s="12" t="s">
        <v>813</v>
      </c>
      <c r="M366" s="7">
        <v>75000000</v>
      </c>
      <c r="N366" s="12" t="str">
        <f t="shared" si="5"/>
        <v>NORMAL</v>
      </c>
      <c r="O366" t="str">
        <f>_xlfn.XLOOKUP(C366,[1]branches!$A$2:$A$11,[1]branches!$D$2:$D$11,"No apecified")</f>
        <v>North</v>
      </c>
    </row>
    <row r="367" spans="1:15" x14ac:dyDescent="0.3">
      <c r="A367" s="11" t="s">
        <v>600</v>
      </c>
      <c r="B367" s="11" t="s">
        <v>601</v>
      </c>
      <c r="C367" s="11" t="s">
        <v>22</v>
      </c>
      <c r="D367" s="11" t="s">
        <v>23</v>
      </c>
      <c r="E367" s="11" t="s">
        <v>39</v>
      </c>
      <c r="F367" s="5">
        <v>500000</v>
      </c>
      <c r="G367" s="18">
        <v>0.18</v>
      </c>
      <c r="H367" s="14">
        <v>24</v>
      </c>
      <c r="I367" s="3">
        <v>45564</v>
      </c>
      <c r="J367" s="11" t="s">
        <v>14</v>
      </c>
      <c r="K367" s="12" t="s">
        <v>795</v>
      </c>
      <c r="L367" s="12" t="s">
        <v>805</v>
      </c>
      <c r="M367" s="7">
        <v>30000000</v>
      </c>
      <c r="N367" s="12" t="str">
        <f t="shared" si="5"/>
        <v>NORMAL</v>
      </c>
      <c r="O367" t="str">
        <f>_xlfn.XLOOKUP(C367,[1]branches!$A$2:$A$11,[1]branches!$D$2:$D$11,"No apecified")</f>
        <v>North</v>
      </c>
    </row>
    <row r="368" spans="1:15" x14ac:dyDescent="0.3">
      <c r="A368" s="13" t="s">
        <v>602</v>
      </c>
      <c r="B368" s="13" t="s">
        <v>545</v>
      </c>
      <c r="C368" s="13" t="s">
        <v>60</v>
      </c>
      <c r="D368" s="13" t="s">
        <v>69</v>
      </c>
      <c r="E368" s="13" t="s">
        <v>760</v>
      </c>
      <c r="F368" s="6">
        <v>5000000</v>
      </c>
      <c r="G368" s="19">
        <v>0.22</v>
      </c>
      <c r="H368" s="15">
        <v>18</v>
      </c>
      <c r="I368" s="4">
        <v>45451</v>
      </c>
      <c r="J368" s="13" t="s">
        <v>14</v>
      </c>
      <c r="K368" s="12" t="s">
        <v>802</v>
      </c>
      <c r="L368" s="12" t="s">
        <v>815</v>
      </c>
      <c r="M368" s="7">
        <v>75000000</v>
      </c>
      <c r="N368" s="12" t="str">
        <f t="shared" si="5"/>
        <v>NORMAL</v>
      </c>
      <c r="O368" t="str">
        <f>_xlfn.XLOOKUP(C368,[1]branches!$A$2:$A$11,[1]branches!$D$2:$D$11,"No apecified")</f>
        <v>North</v>
      </c>
    </row>
    <row r="369" spans="1:15" x14ac:dyDescent="0.3">
      <c r="A369" s="11" t="s">
        <v>603</v>
      </c>
      <c r="B369" s="11" t="s">
        <v>382</v>
      </c>
      <c r="C369" s="11" t="s">
        <v>60</v>
      </c>
      <c r="D369" s="11" t="s">
        <v>61</v>
      </c>
      <c r="E369" s="11" t="s">
        <v>81</v>
      </c>
      <c r="F369" s="5">
        <v>750000</v>
      </c>
      <c r="G369" s="18">
        <v>0.24</v>
      </c>
      <c r="H369" s="14">
        <v>12</v>
      </c>
      <c r="I369" s="3">
        <v>45372</v>
      </c>
      <c r="J369" s="11" t="s">
        <v>14</v>
      </c>
      <c r="K369" s="12" t="s">
        <v>802</v>
      </c>
      <c r="L369" s="12" t="s">
        <v>813</v>
      </c>
      <c r="M369" s="7">
        <v>75000000</v>
      </c>
      <c r="N369" s="12" t="str">
        <f t="shared" si="5"/>
        <v>NORMAL</v>
      </c>
      <c r="O369" t="str">
        <f>_xlfn.XLOOKUP(C369,[1]branches!$A$2:$A$11,[1]branches!$D$2:$D$11,"No apecified")</f>
        <v>North</v>
      </c>
    </row>
    <row r="370" spans="1:15" x14ac:dyDescent="0.3">
      <c r="A370" s="13" t="s">
        <v>604</v>
      </c>
      <c r="B370" s="13" t="s">
        <v>443</v>
      </c>
      <c r="C370" s="13" t="s">
        <v>60</v>
      </c>
      <c r="D370" s="13" t="s">
        <v>61</v>
      </c>
      <c r="E370" s="13" t="s">
        <v>81</v>
      </c>
      <c r="F370" s="6">
        <v>2000000</v>
      </c>
      <c r="G370" s="19">
        <v>0.16</v>
      </c>
      <c r="H370" s="15">
        <v>6</v>
      </c>
      <c r="I370" s="4">
        <v>45630</v>
      </c>
      <c r="J370" s="13" t="s">
        <v>14</v>
      </c>
      <c r="K370" s="12" t="s">
        <v>802</v>
      </c>
      <c r="L370" s="12" t="s">
        <v>813</v>
      </c>
      <c r="M370" s="7">
        <v>75000000</v>
      </c>
      <c r="N370" s="12" t="str">
        <f t="shared" si="5"/>
        <v>NORMAL</v>
      </c>
      <c r="O370" t="str">
        <f>_xlfn.XLOOKUP(C370,[1]branches!$A$2:$A$11,[1]branches!$D$2:$D$11,"No apecified")</f>
        <v>North</v>
      </c>
    </row>
    <row r="371" spans="1:15" x14ac:dyDescent="0.3">
      <c r="A371" s="11" t="s">
        <v>605</v>
      </c>
      <c r="B371" s="11" t="s">
        <v>569</v>
      </c>
      <c r="C371" s="11" t="s">
        <v>26</v>
      </c>
      <c r="D371" s="11" t="s">
        <v>27</v>
      </c>
      <c r="E371" s="11" t="s">
        <v>39</v>
      </c>
      <c r="F371" s="5">
        <v>750000</v>
      </c>
      <c r="G371" s="18">
        <v>0.16</v>
      </c>
      <c r="H371" s="14">
        <v>6</v>
      </c>
      <c r="I371" s="3">
        <v>45499</v>
      </c>
      <c r="J371" s="11" t="s">
        <v>14</v>
      </c>
      <c r="K371" s="12" t="s">
        <v>796</v>
      </c>
      <c r="L371" s="12" t="s">
        <v>806</v>
      </c>
      <c r="M371" s="7">
        <v>50000000</v>
      </c>
      <c r="N371" s="12" t="str">
        <f t="shared" si="5"/>
        <v>NORMAL</v>
      </c>
      <c r="O371" t="str">
        <f>_xlfn.XLOOKUP(C371,[1]branches!$A$2:$A$11,[1]branches!$D$2:$D$11,"No apecified")</f>
        <v>North</v>
      </c>
    </row>
    <row r="372" spans="1:15" x14ac:dyDescent="0.3">
      <c r="A372" s="13" t="s">
        <v>606</v>
      </c>
      <c r="B372" s="13" t="s">
        <v>346</v>
      </c>
      <c r="C372" s="13" t="s">
        <v>22</v>
      </c>
      <c r="D372" s="13" t="s">
        <v>23</v>
      </c>
      <c r="E372" s="13" t="s">
        <v>39</v>
      </c>
      <c r="F372" s="6">
        <v>7500000</v>
      </c>
      <c r="G372" s="19">
        <v>0.24</v>
      </c>
      <c r="H372" s="15">
        <v>12</v>
      </c>
      <c r="I372" s="4">
        <v>45340</v>
      </c>
      <c r="J372" s="13" t="s">
        <v>14</v>
      </c>
      <c r="K372" s="12" t="s">
        <v>795</v>
      </c>
      <c r="L372" s="12" t="s">
        <v>805</v>
      </c>
      <c r="M372" s="7">
        <v>30000000</v>
      </c>
      <c r="N372" s="12" t="str">
        <f t="shared" si="5"/>
        <v>NORMAL</v>
      </c>
      <c r="O372" t="str">
        <f>_xlfn.XLOOKUP(C372,[1]branches!$A$2:$A$11,[1]branches!$D$2:$D$11,"No apecified")</f>
        <v>North</v>
      </c>
    </row>
    <row r="373" spans="1:15" x14ac:dyDescent="0.3">
      <c r="A373" s="11" t="s">
        <v>607</v>
      </c>
      <c r="B373" s="11" t="s">
        <v>242</v>
      </c>
      <c r="C373" s="11" t="s">
        <v>50</v>
      </c>
      <c r="D373" s="11" t="s">
        <v>51</v>
      </c>
      <c r="E373" s="11" t="s">
        <v>39</v>
      </c>
      <c r="F373" s="5">
        <v>500000</v>
      </c>
      <c r="G373" s="18">
        <v>0.2</v>
      </c>
      <c r="H373" s="14">
        <v>36</v>
      </c>
      <c r="I373" s="3">
        <v>45537</v>
      </c>
      <c r="J373" s="11" t="s">
        <v>33</v>
      </c>
      <c r="K373" s="12" t="s">
        <v>800</v>
      </c>
      <c r="L373" s="12" t="s">
        <v>811</v>
      </c>
      <c r="M373" s="7">
        <v>75000000</v>
      </c>
      <c r="N373" s="12" t="str">
        <f t="shared" si="5"/>
        <v>NORMAL</v>
      </c>
      <c r="O373" t="str">
        <f>_xlfn.XLOOKUP(C373,[1]branches!$A$2:$A$11,[1]branches!$D$2:$D$11,"No apecified")</f>
        <v>South-West</v>
      </c>
    </row>
    <row r="374" spans="1:15" x14ac:dyDescent="0.3">
      <c r="A374" s="13" t="s">
        <v>608</v>
      </c>
      <c r="B374" s="13" t="s">
        <v>443</v>
      </c>
      <c r="C374" s="13" t="s">
        <v>60</v>
      </c>
      <c r="D374" s="13" t="s">
        <v>61</v>
      </c>
      <c r="E374" s="13" t="s">
        <v>81</v>
      </c>
      <c r="F374" s="6">
        <v>500000</v>
      </c>
      <c r="G374" s="19">
        <v>0.24</v>
      </c>
      <c r="H374" s="15">
        <v>18</v>
      </c>
      <c r="I374" s="4">
        <v>45513</v>
      </c>
      <c r="J374" s="13" t="s">
        <v>14</v>
      </c>
      <c r="K374" s="12" t="s">
        <v>802</v>
      </c>
      <c r="L374" s="12" t="s">
        <v>813</v>
      </c>
      <c r="M374" s="7">
        <v>75000000</v>
      </c>
      <c r="N374" s="12" t="str">
        <f t="shared" si="5"/>
        <v>NORMAL</v>
      </c>
      <c r="O374" t="str">
        <f>_xlfn.XLOOKUP(C374,[1]branches!$A$2:$A$11,[1]branches!$D$2:$D$11,"No apecified")</f>
        <v>North</v>
      </c>
    </row>
    <row r="375" spans="1:15" x14ac:dyDescent="0.3">
      <c r="A375" s="11" t="s">
        <v>609</v>
      </c>
      <c r="B375" s="11" t="s">
        <v>610</v>
      </c>
      <c r="C375" s="11" t="s">
        <v>50</v>
      </c>
      <c r="D375" s="11" t="s">
        <v>134</v>
      </c>
      <c r="E375" s="11" t="s">
        <v>39</v>
      </c>
      <c r="F375" s="5">
        <v>5000000</v>
      </c>
      <c r="G375" s="18">
        <v>0.24</v>
      </c>
      <c r="H375" s="14">
        <v>36</v>
      </c>
      <c r="I375" s="3">
        <v>45320</v>
      </c>
      <c r="J375" s="11" t="s">
        <v>14</v>
      </c>
      <c r="K375" s="12" t="s">
        <v>800</v>
      </c>
      <c r="L375" s="12" t="s">
        <v>819</v>
      </c>
      <c r="M375" s="7">
        <v>75000000</v>
      </c>
      <c r="N375" s="12" t="str">
        <f t="shared" si="5"/>
        <v>NORMAL</v>
      </c>
      <c r="O375" t="str">
        <f>_xlfn.XLOOKUP(C375,[1]branches!$A$2:$A$11,[1]branches!$D$2:$D$11,"No apecified")</f>
        <v>South-West</v>
      </c>
    </row>
    <row r="376" spans="1:15" x14ac:dyDescent="0.3">
      <c r="A376" s="13" t="s">
        <v>611</v>
      </c>
      <c r="B376" s="13" t="s">
        <v>100</v>
      </c>
      <c r="C376" s="13" t="s">
        <v>56</v>
      </c>
      <c r="D376" s="13" t="s">
        <v>57</v>
      </c>
      <c r="E376" s="13" t="s">
        <v>760</v>
      </c>
      <c r="F376" s="6">
        <v>10000000</v>
      </c>
      <c r="G376" s="19">
        <v>0.16</v>
      </c>
      <c r="H376" s="15">
        <v>12</v>
      </c>
      <c r="I376" s="4">
        <v>45599</v>
      </c>
      <c r="J376" s="13" t="s">
        <v>14</v>
      </c>
      <c r="K376" s="12" t="s">
        <v>801</v>
      </c>
      <c r="L376" s="12" t="s">
        <v>812</v>
      </c>
      <c r="M376" s="7">
        <v>50000000</v>
      </c>
      <c r="N376" s="12" t="str">
        <f t="shared" si="5"/>
        <v>NORMAL</v>
      </c>
      <c r="O376" t="str">
        <f>_xlfn.XLOOKUP(C376,[1]branches!$A$2:$A$11,[1]branches!$D$2:$D$11,"No apecified")</f>
        <v>South-West</v>
      </c>
    </row>
    <row r="377" spans="1:15" x14ac:dyDescent="0.3">
      <c r="A377" s="11" t="s">
        <v>612</v>
      </c>
      <c r="B377" s="11" t="s">
        <v>336</v>
      </c>
      <c r="C377" s="11" t="s">
        <v>56</v>
      </c>
      <c r="D377" s="11" t="s">
        <v>57</v>
      </c>
      <c r="E377" s="11" t="s">
        <v>81</v>
      </c>
      <c r="F377" s="5">
        <v>750000</v>
      </c>
      <c r="G377" s="18">
        <v>0.18</v>
      </c>
      <c r="H377" s="14">
        <v>24</v>
      </c>
      <c r="I377" s="3">
        <v>45521</v>
      </c>
      <c r="J377" s="11" t="s">
        <v>14</v>
      </c>
      <c r="K377" s="12" t="s">
        <v>801</v>
      </c>
      <c r="L377" s="12" t="s">
        <v>812</v>
      </c>
      <c r="M377" s="7">
        <v>50000000</v>
      </c>
      <c r="N377" s="12" t="str">
        <f t="shared" si="5"/>
        <v>NORMAL</v>
      </c>
      <c r="O377" t="str">
        <f>_xlfn.XLOOKUP(C377,[1]branches!$A$2:$A$11,[1]branches!$D$2:$D$11,"No apecified")</f>
        <v>South-West</v>
      </c>
    </row>
    <row r="378" spans="1:15" x14ac:dyDescent="0.3">
      <c r="A378" s="13" t="s">
        <v>613</v>
      </c>
      <c r="B378" s="13" t="s">
        <v>614</v>
      </c>
      <c r="C378" s="13" t="s">
        <v>12</v>
      </c>
      <c r="D378" s="13" t="s">
        <v>145</v>
      </c>
      <c r="E378" s="13" t="s">
        <v>760</v>
      </c>
      <c r="F378" s="6">
        <v>5000000</v>
      </c>
      <c r="G378" s="19">
        <v>0.22</v>
      </c>
      <c r="H378" s="15">
        <v>24</v>
      </c>
      <c r="I378" s="4">
        <v>45471</v>
      </c>
      <c r="J378" s="13" t="s">
        <v>14</v>
      </c>
      <c r="K378" s="12" t="s">
        <v>793</v>
      </c>
      <c r="L378" s="12" t="s">
        <v>820</v>
      </c>
      <c r="M378" s="7">
        <v>40000000</v>
      </c>
      <c r="N378" s="12" t="str">
        <f t="shared" si="5"/>
        <v>NORMAL</v>
      </c>
      <c r="O378" t="str">
        <f>_xlfn.XLOOKUP(C378,[1]branches!$A$2:$A$11,[1]branches!$D$2:$D$11,"No apecified")</f>
        <v>North</v>
      </c>
    </row>
    <row r="379" spans="1:15" x14ac:dyDescent="0.3">
      <c r="A379" s="11" t="s">
        <v>615</v>
      </c>
      <c r="B379" s="11" t="s">
        <v>125</v>
      </c>
      <c r="C379" s="11" t="s">
        <v>36</v>
      </c>
      <c r="D379" s="11" t="s">
        <v>121</v>
      </c>
      <c r="E379" s="11" t="s">
        <v>81</v>
      </c>
      <c r="F379" s="5">
        <v>1000000</v>
      </c>
      <c r="G379" s="18">
        <v>0.16</v>
      </c>
      <c r="H379" s="14">
        <v>6</v>
      </c>
      <c r="I379" s="3">
        <v>45350</v>
      </c>
      <c r="J379" s="11" t="s">
        <v>14</v>
      </c>
      <c r="K379" s="12" t="s">
        <v>797</v>
      </c>
      <c r="L379" s="12" t="s">
        <v>818</v>
      </c>
      <c r="M379" s="7">
        <v>30000000</v>
      </c>
      <c r="N379" s="12" t="str">
        <f t="shared" si="5"/>
        <v>NORMAL</v>
      </c>
      <c r="O379" t="str">
        <f>_xlfn.XLOOKUP(C379,[1]branches!$A$2:$A$11,[1]branches!$D$2:$D$11,"No apecified")</f>
        <v>South-South</v>
      </c>
    </row>
    <row r="380" spans="1:15" x14ac:dyDescent="0.3">
      <c r="A380" s="13" t="s">
        <v>616</v>
      </c>
      <c r="B380" s="13" t="s">
        <v>116</v>
      </c>
      <c r="C380" s="13" t="s">
        <v>46</v>
      </c>
      <c r="D380" s="13" t="s">
        <v>47</v>
      </c>
      <c r="E380" s="13" t="s">
        <v>760</v>
      </c>
      <c r="F380" s="6">
        <v>10000000</v>
      </c>
      <c r="G380" s="19">
        <v>0.22</v>
      </c>
      <c r="H380" s="15">
        <v>24</v>
      </c>
      <c r="I380" s="4">
        <v>45384</v>
      </c>
      <c r="J380" s="13" t="s">
        <v>33</v>
      </c>
      <c r="K380" s="12" t="s">
        <v>799</v>
      </c>
      <c r="L380" s="12" t="s">
        <v>810</v>
      </c>
      <c r="M380" s="7">
        <v>30000000</v>
      </c>
      <c r="N380" s="12" t="str">
        <f t="shared" si="5"/>
        <v>NORMAL</v>
      </c>
      <c r="O380" t="str">
        <f>_xlfn.XLOOKUP(C380,[1]branches!$A$2:$A$11,[1]branches!$D$2:$D$11,"No apecified")</f>
        <v>South-West</v>
      </c>
    </row>
    <row r="381" spans="1:15" x14ac:dyDescent="0.3">
      <c r="A381" s="11" t="s">
        <v>617</v>
      </c>
      <c r="B381" s="11" t="s">
        <v>318</v>
      </c>
      <c r="C381" s="11" t="s">
        <v>60</v>
      </c>
      <c r="D381" s="11" t="s">
        <v>61</v>
      </c>
      <c r="E381" s="11" t="s">
        <v>39</v>
      </c>
      <c r="F381" s="5">
        <v>7500000</v>
      </c>
      <c r="G381" s="18">
        <v>0.16</v>
      </c>
      <c r="H381" s="14">
        <v>24</v>
      </c>
      <c r="I381" s="3">
        <v>45619</v>
      </c>
      <c r="J381" s="11" t="s">
        <v>14</v>
      </c>
      <c r="K381" s="12" t="s">
        <v>802</v>
      </c>
      <c r="L381" s="12" t="s">
        <v>813</v>
      </c>
      <c r="M381" s="7">
        <v>75000000</v>
      </c>
      <c r="N381" s="12" t="str">
        <f t="shared" si="5"/>
        <v>NORMAL</v>
      </c>
      <c r="O381" t="str">
        <f>_xlfn.XLOOKUP(C381,[1]branches!$A$2:$A$11,[1]branches!$D$2:$D$11,"No apecified")</f>
        <v>North</v>
      </c>
    </row>
    <row r="382" spans="1:15" x14ac:dyDescent="0.3">
      <c r="A382" s="13" t="s">
        <v>618</v>
      </c>
      <c r="B382" s="13" t="s">
        <v>100</v>
      </c>
      <c r="C382" s="13" t="s">
        <v>56</v>
      </c>
      <c r="D382" s="13" t="s">
        <v>57</v>
      </c>
      <c r="E382" s="13" t="s">
        <v>39</v>
      </c>
      <c r="F382" s="6">
        <v>1000000</v>
      </c>
      <c r="G382" s="19">
        <v>0.18</v>
      </c>
      <c r="H382" s="15">
        <v>24</v>
      </c>
      <c r="I382" s="4">
        <v>45469</v>
      </c>
      <c r="J382" s="13" t="s">
        <v>14</v>
      </c>
      <c r="K382" s="12" t="s">
        <v>801</v>
      </c>
      <c r="L382" s="12" t="s">
        <v>812</v>
      </c>
      <c r="M382" s="7">
        <v>50000000</v>
      </c>
      <c r="N382" s="12" t="str">
        <f t="shared" si="5"/>
        <v>NORMAL</v>
      </c>
      <c r="O382" t="str">
        <f>_xlfn.XLOOKUP(C382,[1]branches!$A$2:$A$11,[1]branches!$D$2:$D$11,"No apecified")</f>
        <v>South-West</v>
      </c>
    </row>
    <row r="383" spans="1:15" x14ac:dyDescent="0.3">
      <c r="A383" s="11" t="s">
        <v>619</v>
      </c>
      <c r="B383" s="11" t="s">
        <v>298</v>
      </c>
      <c r="C383" s="11" t="s">
        <v>42</v>
      </c>
      <c r="D383" s="11" t="s">
        <v>282</v>
      </c>
      <c r="E383" s="11" t="s">
        <v>760</v>
      </c>
      <c r="F383" s="5">
        <v>10000000</v>
      </c>
      <c r="G383" s="18">
        <v>0.22</v>
      </c>
      <c r="H383" s="14">
        <v>18</v>
      </c>
      <c r="I383" s="3">
        <v>45420</v>
      </c>
      <c r="J383" s="11" t="s">
        <v>14</v>
      </c>
      <c r="K383" s="12" t="s">
        <v>798</v>
      </c>
      <c r="L383" s="12" t="s">
        <v>822</v>
      </c>
      <c r="M383" s="7">
        <v>50000000</v>
      </c>
      <c r="N383" s="12" t="str">
        <f t="shared" si="5"/>
        <v>NORMAL</v>
      </c>
      <c r="O383" t="str">
        <f>_xlfn.XLOOKUP(C383,[1]branches!$A$2:$A$11,[1]branches!$D$2:$D$11,"No apecified")</f>
        <v>North</v>
      </c>
    </row>
    <row r="384" spans="1:15" x14ac:dyDescent="0.3">
      <c r="A384" s="13" t="s">
        <v>620</v>
      </c>
      <c r="B384" s="13" t="s">
        <v>621</v>
      </c>
      <c r="C384" s="13" t="s">
        <v>46</v>
      </c>
      <c r="D384" s="13" t="s">
        <v>47</v>
      </c>
      <c r="E384" s="13" t="s">
        <v>39</v>
      </c>
      <c r="F384" s="6">
        <v>5000000</v>
      </c>
      <c r="G384" s="19">
        <v>0.18</v>
      </c>
      <c r="H384" s="15">
        <v>24</v>
      </c>
      <c r="I384" s="4">
        <v>45618</v>
      </c>
      <c r="J384" s="13" t="s">
        <v>14</v>
      </c>
      <c r="K384" s="12" t="s">
        <v>799</v>
      </c>
      <c r="L384" s="12" t="s">
        <v>810</v>
      </c>
      <c r="M384" s="7">
        <v>30000000</v>
      </c>
      <c r="N384" s="12" t="str">
        <f t="shared" si="5"/>
        <v>NORMAL</v>
      </c>
      <c r="O384" t="str">
        <f>_xlfn.XLOOKUP(C384,[1]branches!$A$2:$A$11,[1]branches!$D$2:$D$11,"No apecified")</f>
        <v>South-West</v>
      </c>
    </row>
    <row r="385" spans="1:15" x14ac:dyDescent="0.3">
      <c r="A385" s="11" t="s">
        <v>622</v>
      </c>
      <c r="B385" s="11" t="s">
        <v>399</v>
      </c>
      <c r="C385" s="11" t="s">
        <v>22</v>
      </c>
      <c r="D385" s="11" t="s">
        <v>30</v>
      </c>
      <c r="E385" s="11" t="s">
        <v>81</v>
      </c>
      <c r="F385" s="5">
        <v>2000000</v>
      </c>
      <c r="G385" s="18">
        <v>0.16</v>
      </c>
      <c r="H385" s="14">
        <v>18</v>
      </c>
      <c r="I385" s="3">
        <v>45467</v>
      </c>
      <c r="J385" s="11" t="s">
        <v>33</v>
      </c>
      <c r="K385" s="12" t="s">
        <v>795</v>
      </c>
      <c r="L385" s="12" t="s">
        <v>807</v>
      </c>
      <c r="M385" s="7">
        <v>30000000</v>
      </c>
      <c r="N385" s="12" t="str">
        <f t="shared" si="5"/>
        <v>NORMAL</v>
      </c>
      <c r="O385" t="str">
        <f>_xlfn.XLOOKUP(C385,[1]branches!$A$2:$A$11,[1]branches!$D$2:$D$11,"No apecified")</f>
        <v>North</v>
      </c>
    </row>
    <row r="386" spans="1:15" x14ac:dyDescent="0.3">
      <c r="A386" s="13" t="s">
        <v>623</v>
      </c>
      <c r="B386" s="13" t="s">
        <v>289</v>
      </c>
      <c r="C386" s="13" t="s">
        <v>36</v>
      </c>
      <c r="D386" s="13" t="s">
        <v>37</v>
      </c>
      <c r="E386" s="13" t="s">
        <v>81</v>
      </c>
      <c r="F386" s="6">
        <v>2000000</v>
      </c>
      <c r="G386" s="19">
        <v>0.18</v>
      </c>
      <c r="H386" s="15">
        <v>24</v>
      </c>
      <c r="I386" s="4">
        <v>45480</v>
      </c>
      <c r="J386" s="13" t="s">
        <v>14</v>
      </c>
      <c r="K386" s="12" t="s">
        <v>797</v>
      </c>
      <c r="L386" s="12" t="s">
        <v>808</v>
      </c>
      <c r="M386" s="7">
        <v>40000000</v>
      </c>
      <c r="N386" s="12" t="str">
        <f t="shared" ref="N386:N449" si="6">IF(AND(J386="Defaulted",F386&gt;2000000), "HIGH RISK", IF(J386="Defaulted", "AT RISK", "NORMAL"))</f>
        <v>NORMAL</v>
      </c>
      <c r="O386" t="str">
        <f>_xlfn.XLOOKUP(C386,[1]branches!$A$2:$A$11,[1]branches!$D$2:$D$11,"No apecified")</f>
        <v>South-South</v>
      </c>
    </row>
    <row r="387" spans="1:15" x14ac:dyDescent="0.3">
      <c r="A387" s="11" t="s">
        <v>624</v>
      </c>
      <c r="B387" s="11" t="s">
        <v>235</v>
      </c>
      <c r="C387" s="11" t="s">
        <v>17</v>
      </c>
      <c r="D387" s="11" t="s">
        <v>148</v>
      </c>
      <c r="E387" s="11" t="s">
        <v>81</v>
      </c>
      <c r="F387" s="5">
        <v>750000</v>
      </c>
      <c r="G387" s="18">
        <v>0.24</v>
      </c>
      <c r="H387" s="14">
        <v>36</v>
      </c>
      <c r="I387" s="3">
        <v>45311</v>
      </c>
      <c r="J387" s="11" t="s">
        <v>14</v>
      </c>
      <c r="K387" s="12" t="s">
        <v>794</v>
      </c>
      <c r="L387" s="12" t="s">
        <v>821</v>
      </c>
      <c r="M387" s="7">
        <v>40000000</v>
      </c>
      <c r="N387" s="12" t="str">
        <f t="shared" si="6"/>
        <v>NORMAL</v>
      </c>
      <c r="O387" t="str">
        <f>_xlfn.XLOOKUP(C387,[1]branches!$A$2:$A$11,[1]branches!$D$2:$D$11,"No apecified")</f>
        <v>South-South</v>
      </c>
    </row>
    <row r="388" spans="1:15" x14ac:dyDescent="0.3">
      <c r="A388" s="13" t="s">
        <v>625</v>
      </c>
      <c r="B388" s="13" t="s">
        <v>164</v>
      </c>
      <c r="C388" s="13" t="s">
        <v>26</v>
      </c>
      <c r="D388" s="13" t="s">
        <v>66</v>
      </c>
      <c r="E388" s="13" t="s">
        <v>760</v>
      </c>
      <c r="F388" s="6">
        <v>2000000</v>
      </c>
      <c r="G388" s="19">
        <v>0.18</v>
      </c>
      <c r="H388" s="15">
        <v>24</v>
      </c>
      <c r="I388" s="4">
        <v>45414</v>
      </c>
      <c r="J388" s="13" t="s">
        <v>33</v>
      </c>
      <c r="K388" s="12" t="s">
        <v>796</v>
      </c>
      <c r="L388" s="12" t="s">
        <v>814</v>
      </c>
      <c r="M388" s="7">
        <v>60000000</v>
      </c>
      <c r="N388" s="12" t="str">
        <f t="shared" si="6"/>
        <v>NORMAL</v>
      </c>
      <c r="O388" t="str">
        <f>_xlfn.XLOOKUP(C388,[1]branches!$A$2:$A$11,[1]branches!$D$2:$D$11,"No apecified")</f>
        <v>North</v>
      </c>
    </row>
    <row r="389" spans="1:15" x14ac:dyDescent="0.3">
      <c r="A389" s="11" t="s">
        <v>626</v>
      </c>
      <c r="B389" s="11" t="s">
        <v>279</v>
      </c>
      <c r="C389" s="11" t="s">
        <v>60</v>
      </c>
      <c r="D389" s="11" t="s">
        <v>61</v>
      </c>
      <c r="E389" s="11" t="s">
        <v>760</v>
      </c>
      <c r="F389" s="5">
        <v>7500000</v>
      </c>
      <c r="G389" s="18">
        <v>0.22</v>
      </c>
      <c r="H389" s="14">
        <v>18</v>
      </c>
      <c r="I389" s="3">
        <v>45296</v>
      </c>
      <c r="J389" s="11" t="s">
        <v>14</v>
      </c>
      <c r="K389" s="12" t="s">
        <v>802</v>
      </c>
      <c r="L389" s="12" t="s">
        <v>813</v>
      </c>
      <c r="M389" s="7">
        <v>75000000</v>
      </c>
      <c r="N389" s="12" t="str">
        <f t="shared" si="6"/>
        <v>NORMAL</v>
      </c>
      <c r="O389" t="str">
        <f>_xlfn.XLOOKUP(C389,[1]branches!$A$2:$A$11,[1]branches!$D$2:$D$11,"No apecified")</f>
        <v>North</v>
      </c>
    </row>
    <row r="390" spans="1:15" x14ac:dyDescent="0.3">
      <c r="A390" s="13" t="s">
        <v>627</v>
      </c>
      <c r="B390" s="13" t="s">
        <v>218</v>
      </c>
      <c r="C390" s="13" t="s">
        <v>17</v>
      </c>
      <c r="D390" s="13" t="s">
        <v>148</v>
      </c>
      <c r="E390" s="13" t="s">
        <v>39</v>
      </c>
      <c r="F390" s="6">
        <v>1500000</v>
      </c>
      <c r="G390" s="19">
        <v>0.2</v>
      </c>
      <c r="H390" s="15">
        <v>24</v>
      </c>
      <c r="I390" s="4">
        <v>45554</v>
      </c>
      <c r="J390" s="13" t="s">
        <v>14</v>
      </c>
      <c r="K390" s="12" t="s">
        <v>794</v>
      </c>
      <c r="L390" s="12" t="s">
        <v>821</v>
      </c>
      <c r="M390" s="7">
        <v>40000000</v>
      </c>
      <c r="N390" s="12" t="str">
        <f t="shared" si="6"/>
        <v>NORMAL</v>
      </c>
      <c r="O390" t="str">
        <f>_xlfn.XLOOKUP(C390,[1]branches!$A$2:$A$11,[1]branches!$D$2:$D$11,"No apecified")</f>
        <v>South-South</v>
      </c>
    </row>
    <row r="391" spans="1:15" x14ac:dyDescent="0.3">
      <c r="A391" s="11" t="s">
        <v>628</v>
      </c>
      <c r="B391" s="11" t="s">
        <v>373</v>
      </c>
      <c r="C391" s="11" t="s">
        <v>22</v>
      </c>
      <c r="D391" s="11" t="s">
        <v>23</v>
      </c>
      <c r="E391" s="11" t="s">
        <v>39</v>
      </c>
      <c r="F391" s="5">
        <v>1000000</v>
      </c>
      <c r="G391" s="18">
        <v>0.16</v>
      </c>
      <c r="H391" s="14">
        <v>6</v>
      </c>
      <c r="I391" s="3">
        <v>45632</v>
      </c>
      <c r="J391" s="11" t="s">
        <v>33</v>
      </c>
      <c r="K391" s="12" t="s">
        <v>795</v>
      </c>
      <c r="L391" s="12" t="s">
        <v>805</v>
      </c>
      <c r="M391" s="7">
        <v>30000000</v>
      </c>
      <c r="N391" s="12" t="str">
        <f t="shared" si="6"/>
        <v>NORMAL</v>
      </c>
      <c r="O391" t="str">
        <f>_xlfn.XLOOKUP(C391,[1]branches!$A$2:$A$11,[1]branches!$D$2:$D$11,"No apecified")</f>
        <v>North</v>
      </c>
    </row>
    <row r="392" spans="1:15" x14ac:dyDescent="0.3">
      <c r="A392" s="13" t="s">
        <v>629</v>
      </c>
      <c r="B392" s="13" t="s">
        <v>630</v>
      </c>
      <c r="C392" s="13" t="s">
        <v>26</v>
      </c>
      <c r="D392" s="13" t="s">
        <v>27</v>
      </c>
      <c r="E392" s="13" t="s">
        <v>760</v>
      </c>
      <c r="F392" s="6">
        <v>10000000</v>
      </c>
      <c r="G392" s="19">
        <v>0.22</v>
      </c>
      <c r="H392" s="15">
        <v>12</v>
      </c>
      <c r="I392" s="4">
        <v>45627</v>
      </c>
      <c r="J392" s="13" t="s">
        <v>19</v>
      </c>
      <c r="K392" s="12" t="s">
        <v>796</v>
      </c>
      <c r="L392" s="12" t="s">
        <v>806</v>
      </c>
      <c r="M392" s="7">
        <v>50000000</v>
      </c>
      <c r="N392" s="12" t="str">
        <f t="shared" si="6"/>
        <v>HIGH RISK</v>
      </c>
      <c r="O392" t="str">
        <f>_xlfn.XLOOKUP(C392,[1]branches!$A$2:$A$11,[1]branches!$D$2:$D$11,"No apecified")</f>
        <v>North</v>
      </c>
    </row>
    <row r="393" spans="1:15" x14ac:dyDescent="0.3">
      <c r="A393" s="11" t="s">
        <v>631</v>
      </c>
      <c r="B393" s="11" t="s">
        <v>98</v>
      </c>
      <c r="C393" s="11" t="s">
        <v>36</v>
      </c>
      <c r="D393" s="11" t="s">
        <v>37</v>
      </c>
      <c r="E393" s="11" t="s">
        <v>39</v>
      </c>
      <c r="F393" s="5">
        <v>2000000</v>
      </c>
      <c r="G393" s="18">
        <v>0.2</v>
      </c>
      <c r="H393" s="14">
        <v>24</v>
      </c>
      <c r="I393" s="3">
        <v>45631</v>
      </c>
      <c r="J393" s="11" t="s">
        <v>33</v>
      </c>
      <c r="K393" s="12" t="s">
        <v>797</v>
      </c>
      <c r="L393" s="12" t="s">
        <v>808</v>
      </c>
      <c r="M393" s="7">
        <v>40000000</v>
      </c>
      <c r="N393" s="12" t="str">
        <f t="shared" si="6"/>
        <v>NORMAL</v>
      </c>
      <c r="O393" t="str">
        <f>_xlfn.XLOOKUP(C393,[1]branches!$A$2:$A$11,[1]branches!$D$2:$D$11,"No apecified")</f>
        <v>South-South</v>
      </c>
    </row>
    <row r="394" spans="1:15" x14ac:dyDescent="0.3">
      <c r="A394" s="11" t="s">
        <v>632</v>
      </c>
      <c r="B394" s="11" t="s">
        <v>406</v>
      </c>
      <c r="C394" s="11" t="s">
        <v>26</v>
      </c>
      <c r="D394" s="11" t="s">
        <v>27</v>
      </c>
      <c r="E394" s="11" t="s">
        <v>39</v>
      </c>
      <c r="F394" s="5">
        <v>1500000</v>
      </c>
      <c r="G394" s="18">
        <v>0.2</v>
      </c>
      <c r="H394" s="14">
        <v>36</v>
      </c>
      <c r="I394" s="3">
        <v>45334</v>
      </c>
      <c r="J394" s="11" t="s">
        <v>33</v>
      </c>
      <c r="K394" s="12" t="s">
        <v>796</v>
      </c>
      <c r="L394" s="12" t="s">
        <v>806</v>
      </c>
      <c r="M394" s="7">
        <v>50000000</v>
      </c>
      <c r="N394" s="12" t="str">
        <f t="shared" si="6"/>
        <v>NORMAL</v>
      </c>
      <c r="O394" t="str">
        <f>_xlfn.XLOOKUP(C394,[1]branches!$A$2:$A$11,[1]branches!$D$2:$D$11,"No apecified")</f>
        <v>North</v>
      </c>
    </row>
    <row r="395" spans="1:15" x14ac:dyDescent="0.3">
      <c r="A395" s="13" t="s">
        <v>633</v>
      </c>
      <c r="B395" s="13" t="s">
        <v>108</v>
      </c>
      <c r="C395" s="13" t="s">
        <v>42</v>
      </c>
      <c r="D395" s="13" t="s">
        <v>43</v>
      </c>
      <c r="E395" s="13" t="s">
        <v>760</v>
      </c>
      <c r="F395" s="6">
        <v>10000000</v>
      </c>
      <c r="G395" s="19">
        <v>0.2</v>
      </c>
      <c r="H395" s="15">
        <v>12</v>
      </c>
      <c r="I395" s="4">
        <v>45609</v>
      </c>
      <c r="J395" s="13" t="s">
        <v>19</v>
      </c>
      <c r="K395" s="12" t="s">
        <v>798</v>
      </c>
      <c r="L395" s="12" t="s">
        <v>809</v>
      </c>
      <c r="M395" s="7">
        <v>40000000</v>
      </c>
      <c r="N395" s="12" t="str">
        <f t="shared" si="6"/>
        <v>HIGH RISK</v>
      </c>
      <c r="O395" t="str">
        <f>_xlfn.XLOOKUP(C395,[1]branches!$A$2:$A$11,[1]branches!$D$2:$D$11,"No apecified")</f>
        <v>North</v>
      </c>
    </row>
    <row r="396" spans="1:15" x14ac:dyDescent="0.3">
      <c r="A396" s="13" t="s">
        <v>634</v>
      </c>
      <c r="B396" s="13" t="s">
        <v>322</v>
      </c>
      <c r="C396" s="13" t="s">
        <v>46</v>
      </c>
      <c r="D396" s="13" t="s">
        <v>96</v>
      </c>
      <c r="E396" s="13" t="s">
        <v>39</v>
      </c>
      <c r="F396" s="6">
        <v>750000</v>
      </c>
      <c r="G396" s="19">
        <v>0.2</v>
      </c>
      <c r="H396" s="15">
        <v>36</v>
      </c>
      <c r="I396" s="4">
        <v>45385</v>
      </c>
      <c r="J396" s="13" t="s">
        <v>19</v>
      </c>
      <c r="K396" s="12" t="s">
        <v>799</v>
      </c>
      <c r="L396" s="12" t="s">
        <v>817</v>
      </c>
      <c r="M396" s="7">
        <v>40000000</v>
      </c>
      <c r="N396" s="12" t="str">
        <f t="shared" si="6"/>
        <v>AT RISK</v>
      </c>
      <c r="O396" t="str">
        <f>_xlfn.XLOOKUP(C396,[1]branches!$A$2:$A$11,[1]branches!$D$2:$D$11,"No apecified")</f>
        <v>South-West</v>
      </c>
    </row>
    <row r="397" spans="1:15" x14ac:dyDescent="0.3">
      <c r="A397" s="11" t="s">
        <v>635</v>
      </c>
      <c r="B397" s="11" t="s">
        <v>535</v>
      </c>
      <c r="C397" s="11" t="s">
        <v>12</v>
      </c>
      <c r="D397" s="11" t="s">
        <v>13</v>
      </c>
      <c r="E397" s="11" t="s">
        <v>39</v>
      </c>
      <c r="F397" s="5">
        <v>3000000</v>
      </c>
      <c r="G397" s="18">
        <v>0.24</v>
      </c>
      <c r="H397" s="14">
        <v>36</v>
      </c>
      <c r="I397" s="3">
        <v>45499</v>
      </c>
      <c r="J397" s="11" t="s">
        <v>33</v>
      </c>
      <c r="K397" s="12" t="s">
        <v>793</v>
      </c>
      <c r="L397" s="12" t="s">
        <v>803</v>
      </c>
      <c r="M397" s="7">
        <v>75000000</v>
      </c>
      <c r="N397" s="12" t="str">
        <f t="shared" si="6"/>
        <v>NORMAL</v>
      </c>
      <c r="O397" t="str">
        <f>_xlfn.XLOOKUP(C397,[1]branches!$A$2:$A$11,[1]branches!$D$2:$D$11,"No apecified")</f>
        <v>North</v>
      </c>
    </row>
    <row r="398" spans="1:15" x14ac:dyDescent="0.3">
      <c r="A398" s="13" t="s">
        <v>636</v>
      </c>
      <c r="B398" s="13" t="s">
        <v>637</v>
      </c>
      <c r="C398" s="13" t="s">
        <v>17</v>
      </c>
      <c r="D398" s="13" t="s">
        <v>18</v>
      </c>
      <c r="E398" s="13" t="s">
        <v>39</v>
      </c>
      <c r="F398" s="6">
        <v>1500000</v>
      </c>
      <c r="G398" s="19">
        <v>0.22</v>
      </c>
      <c r="H398" s="15">
        <v>6</v>
      </c>
      <c r="I398" s="4">
        <v>45296</v>
      </c>
      <c r="J398" s="13" t="s">
        <v>14</v>
      </c>
      <c r="K398" s="12" t="s">
        <v>794</v>
      </c>
      <c r="L398" s="12" t="s">
        <v>804</v>
      </c>
      <c r="M398" s="7">
        <v>75000000</v>
      </c>
      <c r="N398" s="12" t="str">
        <f t="shared" si="6"/>
        <v>NORMAL</v>
      </c>
      <c r="O398" t="str">
        <f>_xlfn.XLOOKUP(C398,[1]branches!$A$2:$A$11,[1]branches!$D$2:$D$11,"No apecified")</f>
        <v>South-South</v>
      </c>
    </row>
    <row r="399" spans="1:15" x14ac:dyDescent="0.3">
      <c r="A399" s="11" t="s">
        <v>638</v>
      </c>
      <c r="B399" s="11" t="s">
        <v>16</v>
      </c>
      <c r="C399" s="11" t="s">
        <v>17</v>
      </c>
      <c r="D399" s="11" t="s">
        <v>18</v>
      </c>
      <c r="E399" s="11" t="s">
        <v>39</v>
      </c>
      <c r="F399" s="5">
        <v>1000000</v>
      </c>
      <c r="G399" s="18">
        <v>0.24</v>
      </c>
      <c r="H399" s="14">
        <v>24</v>
      </c>
      <c r="I399" s="3">
        <v>45638</v>
      </c>
      <c r="J399" s="11" t="s">
        <v>33</v>
      </c>
      <c r="K399" s="12" t="s">
        <v>794</v>
      </c>
      <c r="L399" s="12" t="s">
        <v>804</v>
      </c>
      <c r="M399" s="7">
        <v>75000000</v>
      </c>
      <c r="N399" s="12" t="str">
        <f t="shared" si="6"/>
        <v>NORMAL</v>
      </c>
      <c r="O399" t="str">
        <f>_xlfn.XLOOKUP(C399,[1]branches!$A$2:$A$11,[1]branches!$D$2:$D$11,"No apecified")</f>
        <v>South-South</v>
      </c>
    </row>
    <row r="400" spans="1:15" x14ac:dyDescent="0.3">
      <c r="A400" s="13" t="s">
        <v>639</v>
      </c>
      <c r="B400" s="13" t="s">
        <v>640</v>
      </c>
      <c r="C400" s="13" t="s">
        <v>26</v>
      </c>
      <c r="D400" s="13" t="s">
        <v>27</v>
      </c>
      <c r="E400" s="13" t="s">
        <v>81</v>
      </c>
      <c r="F400" s="6">
        <v>3000000</v>
      </c>
      <c r="G400" s="19">
        <v>0.16</v>
      </c>
      <c r="H400" s="15">
        <v>6</v>
      </c>
      <c r="I400" s="4">
        <v>45315</v>
      </c>
      <c r="J400" s="13" t="s">
        <v>33</v>
      </c>
      <c r="K400" s="12" t="s">
        <v>796</v>
      </c>
      <c r="L400" s="12" t="s">
        <v>806</v>
      </c>
      <c r="M400" s="7">
        <v>50000000</v>
      </c>
      <c r="N400" s="12" t="str">
        <f t="shared" si="6"/>
        <v>NORMAL</v>
      </c>
      <c r="O400" t="str">
        <f>_xlfn.XLOOKUP(C400,[1]branches!$A$2:$A$11,[1]branches!$D$2:$D$11,"No apecified")</f>
        <v>North</v>
      </c>
    </row>
    <row r="401" spans="1:15" x14ac:dyDescent="0.3">
      <c r="A401" s="11" t="s">
        <v>641</v>
      </c>
      <c r="B401" s="11" t="s">
        <v>71</v>
      </c>
      <c r="C401" s="11" t="s">
        <v>60</v>
      </c>
      <c r="D401" s="11" t="s">
        <v>69</v>
      </c>
      <c r="E401" s="11" t="s">
        <v>39</v>
      </c>
      <c r="F401" s="5">
        <v>10000000</v>
      </c>
      <c r="G401" s="18">
        <v>0.2</v>
      </c>
      <c r="H401" s="14">
        <v>24</v>
      </c>
      <c r="I401" s="3">
        <v>45541</v>
      </c>
      <c r="J401" s="11" t="s">
        <v>33</v>
      </c>
      <c r="K401" s="12" t="s">
        <v>802</v>
      </c>
      <c r="L401" s="12" t="s">
        <v>815</v>
      </c>
      <c r="M401" s="7">
        <v>75000000</v>
      </c>
      <c r="N401" s="12" t="str">
        <f t="shared" si="6"/>
        <v>NORMAL</v>
      </c>
      <c r="O401" t="str">
        <f>_xlfn.XLOOKUP(C401,[1]branches!$A$2:$A$11,[1]branches!$D$2:$D$11,"No apecified")</f>
        <v>North</v>
      </c>
    </row>
    <row r="402" spans="1:15" x14ac:dyDescent="0.3">
      <c r="A402" s="13" t="s">
        <v>642</v>
      </c>
      <c r="B402" s="13" t="s">
        <v>140</v>
      </c>
      <c r="C402" s="13" t="s">
        <v>46</v>
      </c>
      <c r="D402" s="13" t="s">
        <v>47</v>
      </c>
      <c r="E402" s="13" t="s">
        <v>760</v>
      </c>
      <c r="F402" s="6">
        <v>500000</v>
      </c>
      <c r="G402" s="19">
        <v>0.2</v>
      </c>
      <c r="H402" s="15">
        <v>24</v>
      </c>
      <c r="I402" s="4">
        <v>45608</v>
      </c>
      <c r="J402" s="13" t="s">
        <v>33</v>
      </c>
      <c r="K402" s="12" t="s">
        <v>799</v>
      </c>
      <c r="L402" s="12" t="s">
        <v>810</v>
      </c>
      <c r="M402" s="7">
        <v>30000000</v>
      </c>
      <c r="N402" s="12" t="str">
        <f t="shared" si="6"/>
        <v>NORMAL</v>
      </c>
      <c r="O402" t="str">
        <f>_xlfn.XLOOKUP(C402,[1]branches!$A$2:$A$11,[1]branches!$D$2:$D$11,"No apecified")</f>
        <v>South-West</v>
      </c>
    </row>
    <row r="403" spans="1:15" x14ac:dyDescent="0.3">
      <c r="A403" s="11" t="s">
        <v>643</v>
      </c>
      <c r="B403" s="11" t="s">
        <v>520</v>
      </c>
      <c r="C403" s="11" t="s">
        <v>60</v>
      </c>
      <c r="D403" s="11" t="s">
        <v>69</v>
      </c>
      <c r="E403" s="11" t="s">
        <v>81</v>
      </c>
      <c r="F403" s="5">
        <v>5000000</v>
      </c>
      <c r="G403" s="18">
        <v>0.24</v>
      </c>
      <c r="H403" s="14">
        <v>24</v>
      </c>
      <c r="I403" s="3">
        <v>45479</v>
      </c>
      <c r="J403" s="11" t="s">
        <v>33</v>
      </c>
      <c r="K403" s="12" t="s">
        <v>802</v>
      </c>
      <c r="L403" s="12" t="s">
        <v>815</v>
      </c>
      <c r="M403" s="7">
        <v>75000000</v>
      </c>
      <c r="N403" s="12" t="str">
        <f t="shared" si="6"/>
        <v>NORMAL</v>
      </c>
      <c r="O403" t="str">
        <f>_xlfn.XLOOKUP(C403,[1]branches!$A$2:$A$11,[1]branches!$D$2:$D$11,"No apecified")</f>
        <v>North</v>
      </c>
    </row>
    <row r="404" spans="1:15" x14ac:dyDescent="0.3">
      <c r="A404" s="13" t="s">
        <v>644</v>
      </c>
      <c r="B404" s="13" t="s">
        <v>41</v>
      </c>
      <c r="C404" s="13" t="s">
        <v>42</v>
      </c>
      <c r="D404" s="13" t="s">
        <v>43</v>
      </c>
      <c r="E404" s="13" t="s">
        <v>81</v>
      </c>
      <c r="F404" s="6">
        <v>1000000</v>
      </c>
      <c r="G404" s="19">
        <v>0.18</v>
      </c>
      <c r="H404" s="15">
        <v>36</v>
      </c>
      <c r="I404" s="4">
        <v>45629</v>
      </c>
      <c r="J404" s="13" t="s">
        <v>33</v>
      </c>
      <c r="K404" s="12" t="s">
        <v>798</v>
      </c>
      <c r="L404" s="12" t="s">
        <v>809</v>
      </c>
      <c r="M404" s="7">
        <v>40000000</v>
      </c>
      <c r="N404" s="12" t="str">
        <f t="shared" si="6"/>
        <v>NORMAL</v>
      </c>
      <c r="O404" t="str">
        <f>_xlfn.XLOOKUP(C404,[1]branches!$A$2:$A$11,[1]branches!$D$2:$D$11,"No apecified")</f>
        <v>North</v>
      </c>
    </row>
    <row r="405" spans="1:15" x14ac:dyDescent="0.3">
      <c r="A405" s="11" t="s">
        <v>645</v>
      </c>
      <c r="B405" s="11" t="s">
        <v>646</v>
      </c>
      <c r="C405" s="11" t="s">
        <v>50</v>
      </c>
      <c r="D405" s="11" t="s">
        <v>134</v>
      </c>
      <c r="E405" s="11" t="s">
        <v>81</v>
      </c>
      <c r="F405" s="5">
        <v>10000000</v>
      </c>
      <c r="G405" s="18">
        <v>0.18</v>
      </c>
      <c r="H405" s="14">
        <v>18</v>
      </c>
      <c r="I405" s="3">
        <v>45487</v>
      </c>
      <c r="J405" s="11" t="s">
        <v>33</v>
      </c>
      <c r="K405" s="12" t="s">
        <v>800</v>
      </c>
      <c r="L405" s="12" t="s">
        <v>819</v>
      </c>
      <c r="M405" s="7">
        <v>75000000</v>
      </c>
      <c r="N405" s="12" t="str">
        <f t="shared" si="6"/>
        <v>NORMAL</v>
      </c>
      <c r="O405" t="str">
        <f>_xlfn.XLOOKUP(C405,[1]branches!$A$2:$A$11,[1]branches!$D$2:$D$11,"No apecified")</f>
        <v>South-West</v>
      </c>
    </row>
    <row r="406" spans="1:15" x14ac:dyDescent="0.3">
      <c r="A406" s="13" t="s">
        <v>647</v>
      </c>
      <c r="B406" s="13" t="s">
        <v>95</v>
      </c>
      <c r="C406" s="13" t="s">
        <v>46</v>
      </c>
      <c r="D406" s="13" t="s">
        <v>96</v>
      </c>
      <c r="E406" s="13" t="s">
        <v>760</v>
      </c>
      <c r="F406" s="6">
        <v>3000000</v>
      </c>
      <c r="G406" s="19">
        <v>0.16</v>
      </c>
      <c r="H406" s="15">
        <v>6</v>
      </c>
      <c r="I406" s="4">
        <v>45620</v>
      </c>
      <c r="J406" s="13" t="s">
        <v>14</v>
      </c>
      <c r="K406" s="12" t="s">
        <v>799</v>
      </c>
      <c r="L406" s="12" t="s">
        <v>817</v>
      </c>
      <c r="M406" s="7">
        <v>40000000</v>
      </c>
      <c r="N406" s="12" t="str">
        <f t="shared" si="6"/>
        <v>NORMAL</v>
      </c>
      <c r="O406" t="str">
        <f>_xlfn.XLOOKUP(C406,[1]branches!$A$2:$A$11,[1]branches!$D$2:$D$11,"No apecified")</f>
        <v>South-West</v>
      </c>
    </row>
    <row r="407" spans="1:15" x14ac:dyDescent="0.3">
      <c r="A407" s="11" t="s">
        <v>648</v>
      </c>
      <c r="B407" s="11" t="s">
        <v>155</v>
      </c>
      <c r="C407" s="11" t="s">
        <v>36</v>
      </c>
      <c r="D407" s="11" t="s">
        <v>121</v>
      </c>
      <c r="E407" s="11" t="s">
        <v>81</v>
      </c>
      <c r="F407" s="5">
        <v>7500000</v>
      </c>
      <c r="G407" s="18">
        <v>0.18</v>
      </c>
      <c r="H407" s="14">
        <v>6</v>
      </c>
      <c r="I407" s="3">
        <v>45359</v>
      </c>
      <c r="J407" s="11" t="s">
        <v>33</v>
      </c>
      <c r="K407" s="12" t="s">
        <v>797</v>
      </c>
      <c r="L407" s="12" t="s">
        <v>818</v>
      </c>
      <c r="M407" s="7">
        <v>30000000</v>
      </c>
      <c r="N407" s="12" t="str">
        <f t="shared" si="6"/>
        <v>NORMAL</v>
      </c>
      <c r="O407" t="str">
        <f>_xlfn.XLOOKUP(C407,[1]branches!$A$2:$A$11,[1]branches!$D$2:$D$11,"No apecified")</f>
        <v>South-South</v>
      </c>
    </row>
    <row r="408" spans="1:15" x14ac:dyDescent="0.3">
      <c r="A408" s="13" t="s">
        <v>649</v>
      </c>
      <c r="B408" s="13" t="s">
        <v>131</v>
      </c>
      <c r="C408" s="13" t="s">
        <v>60</v>
      </c>
      <c r="D408" s="13" t="s">
        <v>69</v>
      </c>
      <c r="E408" s="13" t="s">
        <v>760</v>
      </c>
      <c r="F408" s="6">
        <v>3000000</v>
      </c>
      <c r="G408" s="19">
        <v>0.22</v>
      </c>
      <c r="H408" s="15">
        <v>6</v>
      </c>
      <c r="I408" s="4">
        <v>45426</v>
      </c>
      <c r="J408" s="13" t="s">
        <v>14</v>
      </c>
      <c r="K408" s="12" t="s">
        <v>802</v>
      </c>
      <c r="L408" s="12" t="s">
        <v>815</v>
      </c>
      <c r="M408" s="7">
        <v>75000000</v>
      </c>
      <c r="N408" s="12" t="str">
        <f t="shared" si="6"/>
        <v>NORMAL</v>
      </c>
      <c r="O408" t="str">
        <f>_xlfn.XLOOKUP(C408,[1]branches!$A$2:$A$11,[1]branches!$D$2:$D$11,"No apecified")</f>
        <v>North</v>
      </c>
    </row>
    <row r="409" spans="1:15" x14ac:dyDescent="0.3">
      <c r="A409" s="11" t="s">
        <v>650</v>
      </c>
      <c r="B409" s="11" t="s">
        <v>402</v>
      </c>
      <c r="C409" s="11" t="s">
        <v>46</v>
      </c>
      <c r="D409" s="11" t="s">
        <v>96</v>
      </c>
      <c r="E409" s="11" t="s">
        <v>39</v>
      </c>
      <c r="F409" s="5">
        <v>2000000</v>
      </c>
      <c r="G409" s="18">
        <v>0.18</v>
      </c>
      <c r="H409" s="14">
        <v>24</v>
      </c>
      <c r="I409" s="3">
        <v>45369</v>
      </c>
      <c r="J409" s="11" t="s">
        <v>14</v>
      </c>
      <c r="K409" s="12" t="s">
        <v>799</v>
      </c>
      <c r="L409" s="12" t="s">
        <v>817</v>
      </c>
      <c r="M409" s="7">
        <v>40000000</v>
      </c>
      <c r="N409" s="12" t="str">
        <f t="shared" si="6"/>
        <v>NORMAL</v>
      </c>
      <c r="O409" t="str">
        <f>_xlfn.XLOOKUP(C409,[1]branches!$A$2:$A$11,[1]branches!$D$2:$D$11,"No apecified")</f>
        <v>South-West</v>
      </c>
    </row>
    <row r="410" spans="1:15" x14ac:dyDescent="0.3">
      <c r="A410" s="13" t="s">
        <v>651</v>
      </c>
      <c r="B410" s="13" t="s">
        <v>218</v>
      </c>
      <c r="C410" s="13" t="s">
        <v>17</v>
      </c>
      <c r="D410" s="13" t="s">
        <v>148</v>
      </c>
      <c r="E410" s="13" t="s">
        <v>81</v>
      </c>
      <c r="F410" s="6">
        <v>7500000</v>
      </c>
      <c r="G410" s="19">
        <v>0.2</v>
      </c>
      <c r="H410" s="15">
        <v>24</v>
      </c>
      <c r="I410" s="4">
        <v>45640</v>
      </c>
      <c r="J410" s="13" t="s">
        <v>14</v>
      </c>
      <c r="K410" s="12" t="s">
        <v>794</v>
      </c>
      <c r="L410" s="12" t="s">
        <v>821</v>
      </c>
      <c r="M410" s="7">
        <v>40000000</v>
      </c>
      <c r="N410" s="12" t="str">
        <f t="shared" si="6"/>
        <v>NORMAL</v>
      </c>
      <c r="O410" t="str">
        <f>_xlfn.XLOOKUP(C410,[1]branches!$A$2:$A$11,[1]branches!$D$2:$D$11,"No apecified")</f>
        <v>South-South</v>
      </c>
    </row>
    <row r="411" spans="1:15" x14ac:dyDescent="0.3">
      <c r="A411" s="11" t="s">
        <v>652</v>
      </c>
      <c r="B411" s="11" t="s">
        <v>495</v>
      </c>
      <c r="C411" s="11" t="s">
        <v>60</v>
      </c>
      <c r="D411" s="11" t="s">
        <v>61</v>
      </c>
      <c r="E411" s="11" t="s">
        <v>39</v>
      </c>
      <c r="F411" s="5">
        <v>5000000</v>
      </c>
      <c r="G411" s="18">
        <v>0.24</v>
      </c>
      <c r="H411" s="14">
        <v>12</v>
      </c>
      <c r="I411" s="3">
        <v>45388</v>
      </c>
      <c r="J411" s="11" t="s">
        <v>19</v>
      </c>
      <c r="K411" s="12" t="s">
        <v>802</v>
      </c>
      <c r="L411" s="12" t="s">
        <v>813</v>
      </c>
      <c r="M411" s="7">
        <v>75000000</v>
      </c>
      <c r="N411" s="12" t="str">
        <f t="shared" si="6"/>
        <v>HIGH RISK</v>
      </c>
      <c r="O411" t="str">
        <f>_xlfn.XLOOKUP(C411,[1]branches!$A$2:$A$11,[1]branches!$D$2:$D$11,"No apecified")</f>
        <v>North</v>
      </c>
    </row>
    <row r="412" spans="1:15" x14ac:dyDescent="0.3">
      <c r="A412" s="13" t="s">
        <v>653</v>
      </c>
      <c r="B412" s="13" t="s">
        <v>312</v>
      </c>
      <c r="C412" s="13" t="s">
        <v>46</v>
      </c>
      <c r="D412" s="13" t="s">
        <v>96</v>
      </c>
      <c r="E412" s="13" t="s">
        <v>39</v>
      </c>
      <c r="F412" s="6">
        <v>1500000</v>
      </c>
      <c r="G412" s="19">
        <v>0.22</v>
      </c>
      <c r="H412" s="15">
        <v>6</v>
      </c>
      <c r="I412" s="4">
        <v>45522</v>
      </c>
      <c r="J412" s="13" t="s">
        <v>33</v>
      </c>
      <c r="K412" s="12" t="s">
        <v>799</v>
      </c>
      <c r="L412" s="12" t="s">
        <v>817</v>
      </c>
      <c r="M412" s="7">
        <v>40000000</v>
      </c>
      <c r="N412" s="12" t="str">
        <f t="shared" si="6"/>
        <v>NORMAL</v>
      </c>
      <c r="O412" t="str">
        <f>_xlfn.XLOOKUP(C412,[1]branches!$A$2:$A$11,[1]branches!$D$2:$D$11,"No apecified")</f>
        <v>South-West</v>
      </c>
    </row>
    <row r="413" spans="1:15" x14ac:dyDescent="0.3">
      <c r="A413" s="11" t="s">
        <v>654</v>
      </c>
      <c r="B413" s="11" t="s">
        <v>655</v>
      </c>
      <c r="C413" s="11" t="s">
        <v>60</v>
      </c>
      <c r="D413" s="11" t="s">
        <v>69</v>
      </c>
      <c r="E413" s="11" t="s">
        <v>760</v>
      </c>
      <c r="F413" s="5">
        <v>7500000</v>
      </c>
      <c r="G413" s="18">
        <v>0.18</v>
      </c>
      <c r="H413" s="14">
        <v>6</v>
      </c>
      <c r="I413" s="3">
        <v>45356</v>
      </c>
      <c r="J413" s="11" t="s">
        <v>14</v>
      </c>
      <c r="K413" s="12" t="s">
        <v>802</v>
      </c>
      <c r="L413" s="12" t="s">
        <v>815</v>
      </c>
      <c r="M413" s="7">
        <v>75000000</v>
      </c>
      <c r="N413" s="12" t="str">
        <f t="shared" si="6"/>
        <v>NORMAL</v>
      </c>
      <c r="O413" t="str">
        <f>_xlfn.XLOOKUP(C413,[1]branches!$A$2:$A$11,[1]branches!$D$2:$D$11,"No apecified")</f>
        <v>North</v>
      </c>
    </row>
    <row r="414" spans="1:15" x14ac:dyDescent="0.3">
      <c r="A414" s="13" t="s">
        <v>656</v>
      </c>
      <c r="B414" s="13" t="s">
        <v>423</v>
      </c>
      <c r="C414" s="13" t="s">
        <v>22</v>
      </c>
      <c r="D414" s="13" t="s">
        <v>23</v>
      </c>
      <c r="E414" s="13" t="s">
        <v>81</v>
      </c>
      <c r="F414" s="6">
        <v>5000000</v>
      </c>
      <c r="G414" s="19">
        <v>0.2</v>
      </c>
      <c r="H414" s="15">
        <v>6</v>
      </c>
      <c r="I414" s="4">
        <v>45397</v>
      </c>
      <c r="J414" s="13" t="s">
        <v>33</v>
      </c>
      <c r="K414" s="12" t="s">
        <v>795</v>
      </c>
      <c r="L414" s="12" t="s">
        <v>805</v>
      </c>
      <c r="M414" s="7">
        <v>30000000</v>
      </c>
      <c r="N414" s="12" t="str">
        <f t="shared" si="6"/>
        <v>NORMAL</v>
      </c>
      <c r="O414" t="str">
        <f>_xlfn.XLOOKUP(C414,[1]branches!$A$2:$A$11,[1]branches!$D$2:$D$11,"No apecified")</f>
        <v>North</v>
      </c>
    </row>
    <row r="415" spans="1:15" x14ac:dyDescent="0.3">
      <c r="A415" s="13" t="s">
        <v>657</v>
      </c>
      <c r="B415" s="13" t="s">
        <v>25</v>
      </c>
      <c r="C415" s="13" t="s">
        <v>26</v>
      </c>
      <c r="D415" s="13" t="s">
        <v>27</v>
      </c>
      <c r="E415" s="13" t="s">
        <v>81</v>
      </c>
      <c r="F415" s="6">
        <v>7500000</v>
      </c>
      <c r="G415" s="19">
        <v>0.16</v>
      </c>
      <c r="H415" s="15">
        <v>6</v>
      </c>
      <c r="I415" s="4">
        <v>45372</v>
      </c>
      <c r="J415" s="13" t="s">
        <v>33</v>
      </c>
      <c r="K415" s="12" t="s">
        <v>796</v>
      </c>
      <c r="L415" s="12" t="s">
        <v>806</v>
      </c>
      <c r="M415" s="7">
        <v>50000000</v>
      </c>
      <c r="N415" s="12" t="str">
        <f t="shared" si="6"/>
        <v>NORMAL</v>
      </c>
      <c r="O415" t="str">
        <f>_xlfn.XLOOKUP(C415,[1]branches!$A$2:$A$11,[1]branches!$D$2:$D$11,"No apecified")</f>
        <v>North</v>
      </c>
    </row>
    <row r="416" spans="1:15" x14ac:dyDescent="0.3">
      <c r="A416" s="11" t="s">
        <v>658</v>
      </c>
      <c r="B416" s="11" t="s">
        <v>659</v>
      </c>
      <c r="C416" s="11" t="s">
        <v>50</v>
      </c>
      <c r="D416" s="11" t="s">
        <v>134</v>
      </c>
      <c r="E416" s="11" t="s">
        <v>39</v>
      </c>
      <c r="F416" s="5">
        <v>5000000</v>
      </c>
      <c r="G416" s="18">
        <v>0.24</v>
      </c>
      <c r="H416" s="14">
        <v>36</v>
      </c>
      <c r="I416" s="3">
        <v>45550</v>
      </c>
      <c r="J416" s="11" t="s">
        <v>33</v>
      </c>
      <c r="K416" s="12" t="s">
        <v>800</v>
      </c>
      <c r="L416" s="12" t="s">
        <v>819</v>
      </c>
      <c r="M416" s="7">
        <v>75000000</v>
      </c>
      <c r="N416" s="12" t="str">
        <f t="shared" si="6"/>
        <v>NORMAL</v>
      </c>
      <c r="O416" t="str">
        <f>_xlfn.XLOOKUP(C416,[1]branches!$A$2:$A$11,[1]branches!$D$2:$D$11,"No apecified")</f>
        <v>South-West</v>
      </c>
    </row>
    <row r="417" spans="1:15" x14ac:dyDescent="0.3">
      <c r="A417" s="13" t="s">
        <v>660</v>
      </c>
      <c r="B417" s="13" t="s">
        <v>175</v>
      </c>
      <c r="C417" s="13" t="s">
        <v>50</v>
      </c>
      <c r="D417" s="13" t="s">
        <v>51</v>
      </c>
      <c r="E417" s="13" t="s">
        <v>760</v>
      </c>
      <c r="F417" s="6">
        <v>500000</v>
      </c>
      <c r="G417" s="19">
        <v>0.2</v>
      </c>
      <c r="H417" s="15">
        <v>6</v>
      </c>
      <c r="I417" s="4">
        <v>45398</v>
      </c>
      <c r="J417" s="13" t="s">
        <v>14</v>
      </c>
      <c r="K417" s="12" t="s">
        <v>800</v>
      </c>
      <c r="L417" s="12" t="s">
        <v>811</v>
      </c>
      <c r="M417" s="7">
        <v>75000000</v>
      </c>
      <c r="N417" s="12" t="str">
        <f t="shared" si="6"/>
        <v>NORMAL</v>
      </c>
      <c r="O417" t="str">
        <f>_xlfn.XLOOKUP(C417,[1]branches!$A$2:$A$11,[1]branches!$D$2:$D$11,"No apecified")</f>
        <v>South-West</v>
      </c>
    </row>
    <row r="418" spans="1:15" x14ac:dyDescent="0.3">
      <c r="A418" s="11" t="s">
        <v>661</v>
      </c>
      <c r="B418" s="11" t="s">
        <v>662</v>
      </c>
      <c r="C418" s="11" t="s">
        <v>36</v>
      </c>
      <c r="D418" s="11" t="s">
        <v>121</v>
      </c>
      <c r="E418" s="11" t="s">
        <v>760</v>
      </c>
      <c r="F418" s="5">
        <v>750000</v>
      </c>
      <c r="G418" s="18">
        <v>0.24</v>
      </c>
      <c r="H418" s="14">
        <v>24</v>
      </c>
      <c r="I418" s="3">
        <v>45389</v>
      </c>
      <c r="J418" s="11" t="s">
        <v>14</v>
      </c>
      <c r="K418" s="12" t="s">
        <v>797</v>
      </c>
      <c r="L418" s="12" t="s">
        <v>818</v>
      </c>
      <c r="M418" s="7">
        <v>30000000</v>
      </c>
      <c r="N418" s="12" t="str">
        <f t="shared" si="6"/>
        <v>NORMAL</v>
      </c>
      <c r="O418" t="str">
        <f>_xlfn.XLOOKUP(C418,[1]branches!$A$2:$A$11,[1]branches!$D$2:$D$11,"No apecified")</f>
        <v>South-South</v>
      </c>
    </row>
    <row r="419" spans="1:15" x14ac:dyDescent="0.3">
      <c r="A419" s="13" t="s">
        <v>663</v>
      </c>
      <c r="B419" s="13" t="s">
        <v>29</v>
      </c>
      <c r="C419" s="13" t="s">
        <v>22</v>
      </c>
      <c r="D419" s="13" t="s">
        <v>30</v>
      </c>
      <c r="E419" s="13" t="s">
        <v>39</v>
      </c>
      <c r="F419" s="6">
        <v>1000000</v>
      </c>
      <c r="G419" s="19">
        <v>0.24</v>
      </c>
      <c r="H419" s="15">
        <v>6</v>
      </c>
      <c r="I419" s="4">
        <v>45604</v>
      </c>
      <c r="J419" s="13" t="s">
        <v>33</v>
      </c>
      <c r="K419" s="12" t="s">
        <v>795</v>
      </c>
      <c r="L419" s="12" t="s">
        <v>807</v>
      </c>
      <c r="M419" s="7">
        <v>30000000</v>
      </c>
      <c r="N419" s="12" t="str">
        <f t="shared" si="6"/>
        <v>NORMAL</v>
      </c>
      <c r="O419" t="str">
        <f>_xlfn.XLOOKUP(C419,[1]branches!$A$2:$A$11,[1]branches!$D$2:$D$11,"No apecified")</f>
        <v>North</v>
      </c>
    </row>
    <row r="420" spans="1:15" x14ac:dyDescent="0.3">
      <c r="A420" s="11" t="s">
        <v>664</v>
      </c>
      <c r="B420" s="11" t="s">
        <v>610</v>
      </c>
      <c r="C420" s="11" t="s">
        <v>50</v>
      </c>
      <c r="D420" s="11" t="s">
        <v>134</v>
      </c>
      <c r="E420" s="11" t="s">
        <v>760</v>
      </c>
      <c r="F420" s="5">
        <v>1500000</v>
      </c>
      <c r="G420" s="18">
        <v>0.2</v>
      </c>
      <c r="H420" s="14">
        <v>36</v>
      </c>
      <c r="I420" s="3">
        <v>45335</v>
      </c>
      <c r="J420" s="11" t="s">
        <v>33</v>
      </c>
      <c r="K420" s="12" t="s">
        <v>800</v>
      </c>
      <c r="L420" s="12" t="s">
        <v>819</v>
      </c>
      <c r="M420" s="7">
        <v>75000000</v>
      </c>
      <c r="N420" s="12" t="str">
        <f t="shared" si="6"/>
        <v>NORMAL</v>
      </c>
      <c r="O420" t="str">
        <f>_xlfn.XLOOKUP(C420,[1]branches!$A$2:$A$11,[1]branches!$D$2:$D$11,"No apecified")</f>
        <v>South-West</v>
      </c>
    </row>
    <row r="421" spans="1:15" x14ac:dyDescent="0.3">
      <c r="A421" s="11" t="s">
        <v>665</v>
      </c>
      <c r="B421" s="11" t="s">
        <v>355</v>
      </c>
      <c r="C421" s="11" t="s">
        <v>42</v>
      </c>
      <c r="D421" s="11" t="s">
        <v>282</v>
      </c>
      <c r="E421" s="11" t="s">
        <v>39</v>
      </c>
      <c r="F421" s="5">
        <v>2000000</v>
      </c>
      <c r="G421" s="18">
        <v>0.18</v>
      </c>
      <c r="H421" s="14">
        <v>36</v>
      </c>
      <c r="I421" s="3">
        <v>45319</v>
      </c>
      <c r="J421" s="11" t="s">
        <v>19</v>
      </c>
      <c r="K421" s="12" t="s">
        <v>798</v>
      </c>
      <c r="L421" s="12" t="s">
        <v>822</v>
      </c>
      <c r="M421" s="7">
        <v>50000000</v>
      </c>
      <c r="N421" s="12" t="str">
        <f t="shared" si="6"/>
        <v>AT RISK</v>
      </c>
      <c r="O421" t="str">
        <f>_xlfn.XLOOKUP(C421,[1]branches!$A$2:$A$11,[1]branches!$D$2:$D$11,"No apecified")</f>
        <v>North</v>
      </c>
    </row>
    <row r="422" spans="1:15" x14ac:dyDescent="0.3">
      <c r="A422" s="13" t="s">
        <v>666</v>
      </c>
      <c r="B422" s="13" t="s">
        <v>426</v>
      </c>
      <c r="C422" s="13" t="s">
        <v>17</v>
      </c>
      <c r="D422" s="13" t="s">
        <v>18</v>
      </c>
      <c r="E422" s="13" t="s">
        <v>39</v>
      </c>
      <c r="F422" s="6">
        <v>750000</v>
      </c>
      <c r="G422" s="19">
        <v>0.22</v>
      </c>
      <c r="H422" s="15">
        <v>6</v>
      </c>
      <c r="I422" s="4">
        <v>45572</v>
      </c>
      <c r="J422" s="13" t="s">
        <v>14</v>
      </c>
      <c r="K422" s="12" t="s">
        <v>794</v>
      </c>
      <c r="L422" s="12" t="s">
        <v>804</v>
      </c>
      <c r="M422" s="7">
        <v>75000000</v>
      </c>
      <c r="N422" s="12" t="str">
        <f t="shared" si="6"/>
        <v>NORMAL</v>
      </c>
      <c r="O422" t="str">
        <f>_xlfn.XLOOKUP(C422,[1]branches!$A$2:$A$11,[1]branches!$D$2:$D$11,"No apecified")</f>
        <v>South-South</v>
      </c>
    </row>
    <row r="423" spans="1:15" x14ac:dyDescent="0.3">
      <c r="A423" s="11" t="s">
        <v>667</v>
      </c>
      <c r="B423" s="11" t="s">
        <v>196</v>
      </c>
      <c r="C423" s="11" t="s">
        <v>17</v>
      </c>
      <c r="D423" s="11" t="s">
        <v>18</v>
      </c>
      <c r="E423" s="11" t="s">
        <v>81</v>
      </c>
      <c r="F423" s="5">
        <v>1500000</v>
      </c>
      <c r="G423" s="18">
        <v>0.2</v>
      </c>
      <c r="H423" s="14">
        <v>12</v>
      </c>
      <c r="I423" s="3">
        <v>45493</v>
      </c>
      <c r="J423" s="11" t="s">
        <v>19</v>
      </c>
      <c r="K423" s="12" t="s">
        <v>794</v>
      </c>
      <c r="L423" s="12" t="s">
        <v>804</v>
      </c>
      <c r="M423" s="7">
        <v>75000000</v>
      </c>
      <c r="N423" s="12" t="str">
        <f t="shared" si="6"/>
        <v>AT RISK</v>
      </c>
      <c r="O423" t="str">
        <f>_xlfn.XLOOKUP(C423,[1]branches!$A$2:$A$11,[1]branches!$D$2:$D$11,"No apecified")</f>
        <v>South-South</v>
      </c>
    </row>
    <row r="424" spans="1:15" x14ac:dyDescent="0.3">
      <c r="A424" s="13" t="s">
        <v>668</v>
      </c>
      <c r="B424" s="13" t="s">
        <v>669</v>
      </c>
      <c r="C424" s="13" t="s">
        <v>36</v>
      </c>
      <c r="D424" s="13" t="s">
        <v>121</v>
      </c>
      <c r="E424" s="13" t="s">
        <v>760</v>
      </c>
      <c r="F424" s="6">
        <v>3000000</v>
      </c>
      <c r="G424" s="19">
        <v>0.22</v>
      </c>
      <c r="H424" s="15">
        <v>24</v>
      </c>
      <c r="I424" s="4">
        <v>45534</v>
      </c>
      <c r="J424" s="13" t="s">
        <v>33</v>
      </c>
      <c r="K424" s="12" t="s">
        <v>797</v>
      </c>
      <c r="L424" s="12" t="s">
        <v>818</v>
      </c>
      <c r="M424" s="7">
        <v>30000000</v>
      </c>
      <c r="N424" s="12" t="str">
        <f t="shared" si="6"/>
        <v>NORMAL</v>
      </c>
      <c r="O424" t="str">
        <f>_xlfn.XLOOKUP(C424,[1]branches!$A$2:$A$11,[1]branches!$D$2:$D$11,"No apecified")</f>
        <v>South-South</v>
      </c>
    </row>
    <row r="425" spans="1:15" x14ac:dyDescent="0.3">
      <c r="A425" s="11" t="s">
        <v>670</v>
      </c>
      <c r="B425" s="11" t="s">
        <v>671</v>
      </c>
      <c r="C425" s="11" t="s">
        <v>56</v>
      </c>
      <c r="D425" s="11" t="s">
        <v>57</v>
      </c>
      <c r="E425" s="11" t="s">
        <v>760</v>
      </c>
      <c r="F425" s="5">
        <v>1500000</v>
      </c>
      <c r="G425" s="18">
        <v>0.16</v>
      </c>
      <c r="H425" s="14">
        <v>6</v>
      </c>
      <c r="I425" s="3">
        <v>45324</v>
      </c>
      <c r="J425" s="11" t="s">
        <v>14</v>
      </c>
      <c r="K425" s="12" t="s">
        <v>801</v>
      </c>
      <c r="L425" s="12" t="s">
        <v>812</v>
      </c>
      <c r="M425" s="7">
        <v>50000000</v>
      </c>
      <c r="N425" s="12" t="str">
        <f t="shared" si="6"/>
        <v>NORMAL</v>
      </c>
      <c r="O425" t="str">
        <f>_xlfn.XLOOKUP(C425,[1]branches!$A$2:$A$11,[1]branches!$D$2:$D$11,"No apecified")</f>
        <v>South-West</v>
      </c>
    </row>
    <row r="426" spans="1:15" x14ac:dyDescent="0.3">
      <c r="A426" s="13" t="s">
        <v>672</v>
      </c>
      <c r="B426" s="13" t="s">
        <v>673</v>
      </c>
      <c r="C426" s="13" t="s">
        <v>50</v>
      </c>
      <c r="D426" s="13" t="s">
        <v>51</v>
      </c>
      <c r="E426" s="13" t="s">
        <v>81</v>
      </c>
      <c r="F426" s="6">
        <v>750000</v>
      </c>
      <c r="G426" s="19">
        <v>0.18</v>
      </c>
      <c r="H426" s="15">
        <v>12</v>
      </c>
      <c r="I426" s="4">
        <v>45445</v>
      </c>
      <c r="J426" s="13" t="s">
        <v>33</v>
      </c>
      <c r="K426" s="12" t="s">
        <v>800</v>
      </c>
      <c r="L426" s="12" t="s">
        <v>811</v>
      </c>
      <c r="M426" s="7">
        <v>75000000</v>
      </c>
      <c r="N426" s="12" t="str">
        <f t="shared" si="6"/>
        <v>NORMAL</v>
      </c>
      <c r="O426" t="str">
        <f>_xlfn.XLOOKUP(C426,[1]branches!$A$2:$A$11,[1]branches!$D$2:$D$11,"No apecified")</f>
        <v>South-West</v>
      </c>
    </row>
    <row r="427" spans="1:15" x14ac:dyDescent="0.3">
      <c r="A427" s="11" t="s">
        <v>674</v>
      </c>
      <c r="B427" s="11" t="s">
        <v>63</v>
      </c>
      <c r="C427" s="11" t="s">
        <v>50</v>
      </c>
      <c r="D427" s="11" t="s">
        <v>51</v>
      </c>
      <c r="E427" s="11" t="s">
        <v>81</v>
      </c>
      <c r="F427" s="5">
        <v>10000000</v>
      </c>
      <c r="G427" s="18">
        <v>0.2</v>
      </c>
      <c r="H427" s="14">
        <v>18</v>
      </c>
      <c r="I427" s="3">
        <v>45323</v>
      </c>
      <c r="J427" s="11" t="s">
        <v>14</v>
      </c>
      <c r="K427" s="12" t="s">
        <v>800</v>
      </c>
      <c r="L427" s="12" t="s">
        <v>811</v>
      </c>
      <c r="M427" s="7">
        <v>75000000</v>
      </c>
      <c r="N427" s="12" t="str">
        <f t="shared" si="6"/>
        <v>NORMAL</v>
      </c>
      <c r="O427" t="str">
        <f>_xlfn.XLOOKUP(C427,[1]branches!$A$2:$A$11,[1]branches!$D$2:$D$11,"No apecified")</f>
        <v>South-West</v>
      </c>
    </row>
    <row r="428" spans="1:15" x14ac:dyDescent="0.3">
      <c r="A428" s="13" t="s">
        <v>675</v>
      </c>
      <c r="B428" s="13" t="s">
        <v>171</v>
      </c>
      <c r="C428" s="13" t="s">
        <v>60</v>
      </c>
      <c r="D428" s="13" t="s">
        <v>61</v>
      </c>
      <c r="E428" s="13" t="s">
        <v>760</v>
      </c>
      <c r="F428" s="6">
        <v>750000</v>
      </c>
      <c r="G428" s="19">
        <v>0.2</v>
      </c>
      <c r="H428" s="15">
        <v>6</v>
      </c>
      <c r="I428" s="4">
        <v>45342</v>
      </c>
      <c r="J428" s="13" t="s">
        <v>14</v>
      </c>
      <c r="K428" s="12" t="s">
        <v>802</v>
      </c>
      <c r="L428" s="12" t="s">
        <v>813</v>
      </c>
      <c r="M428" s="7">
        <v>75000000</v>
      </c>
      <c r="N428" s="12" t="str">
        <f t="shared" si="6"/>
        <v>NORMAL</v>
      </c>
      <c r="O428" t="str">
        <f>_xlfn.XLOOKUP(C428,[1]branches!$A$2:$A$11,[1]branches!$D$2:$D$11,"No apecified")</f>
        <v>North</v>
      </c>
    </row>
    <row r="429" spans="1:15" x14ac:dyDescent="0.3">
      <c r="A429" s="11" t="s">
        <v>676</v>
      </c>
      <c r="B429" s="11" t="s">
        <v>324</v>
      </c>
      <c r="C429" s="11" t="s">
        <v>36</v>
      </c>
      <c r="D429" s="11" t="s">
        <v>37</v>
      </c>
      <c r="E429" s="11" t="s">
        <v>81</v>
      </c>
      <c r="F429" s="5">
        <v>1500000</v>
      </c>
      <c r="G429" s="18">
        <v>0.24</v>
      </c>
      <c r="H429" s="14">
        <v>12</v>
      </c>
      <c r="I429" s="3">
        <v>45585</v>
      </c>
      <c r="J429" s="11" t="s">
        <v>33</v>
      </c>
      <c r="K429" s="12" t="s">
        <v>797</v>
      </c>
      <c r="L429" s="12" t="s">
        <v>808</v>
      </c>
      <c r="M429" s="7">
        <v>40000000</v>
      </c>
      <c r="N429" s="12" t="str">
        <f t="shared" si="6"/>
        <v>NORMAL</v>
      </c>
      <c r="O429" t="str">
        <f>_xlfn.XLOOKUP(C429,[1]branches!$A$2:$A$11,[1]branches!$D$2:$D$11,"No apecified")</f>
        <v>South-South</v>
      </c>
    </row>
    <row r="430" spans="1:15" x14ac:dyDescent="0.3">
      <c r="A430" s="13" t="s">
        <v>677</v>
      </c>
      <c r="B430" s="13" t="s">
        <v>373</v>
      </c>
      <c r="C430" s="13" t="s">
        <v>22</v>
      </c>
      <c r="D430" s="13" t="s">
        <v>23</v>
      </c>
      <c r="E430" s="13" t="s">
        <v>81</v>
      </c>
      <c r="F430" s="6">
        <v>2000000</v>
      </c>
      <c r="G430" s="19">
        <v>0.16</v>
      </c>
      <c r="H430" s="15">
        <v>6</v>
      </c>
      <c r="I430" s="4">
        <v>45609</v>
      </c>
      <c r="J430" s="13" t="s">
        <v>19</v>
      </c>
      <c r="K430" s="12" t="s">
        <v>795</v>
      </c>
      <c r="L430" s="12" t="s">
        <v>805</v>
      </c>
      <c r="M430" s="7">
        <v>30000000</v>
      </c>
      <c r="N430" s="12" t="str">
        <f t="shared" si="6"/>
        <v>AT RISK</v>
      </c>
      <c r="O430" t="str">
        <f>_xlfn.XLOOKUP(C430,[1]branches!$A$2:$A$11,[1]branches!$D$2:$D$11,"No apecified")</f>
        <v>North</v>
      </c>
    </row>
    <row r="431" spans="1:15" x14ac:dyDescent="0.3">
      <c r="A431" s="11" t="s">
        <v>678</v>
      </c>
      <c r="B431" s="11" t="s">
        <v>114</v>
      </c>
      <c r="C431" s="11" t="s">
        <v>26</v>
      </c>
      <c r="D431" s="11" t="s">
        <v>66</v>
      </c>
      <c r="E431" s="11" t="s">
        <v>81</v>
      </c>
      <c r="F431" s="5">
        <v>2000000</v>
      </c>
      <c r="G431" s="18">
        <v>0.24</v>
      </c>
      <c r="H431" s="14">
        <v>6</v>
      </c>
      <c r="I431" s="3">
        <v>45292</v>
      </c>
      <c r="J431" s="11" t="s">
        <v>14</v>
      </c>
      <c r="K431" s="12" t="s">
        <v>796</v>
      </c>
      <c r="L431" s="12" t="s">
        <v>814</v>
      </c>
      <c r="M431" s="7">
        <v>60000000</v>
      </c>
      <c r="N431" s="12" t="str">
        <f t="shared" si="6"/>
        <v>NORMAL</v>
      </c>
      <c r="O431" t="str">
        <f>_xlfn.XLOOKUP(C431,[1]branches!$A$2:$A$11,[1]branches!$D$2:$D$11,"No apecified")</f>
        <v>North</v>
      </c>
    </row>
    <row r="432" spans="1:15" x14ac:dyDescent="0.3">
      <c r="A432" s="13" t="s">
        <v>679</v>
      </c>
      <c r="B432" s="13" t="s">
        <v>65</v>
      </c>
      <c r="C432" s="13" t="s">
        <v>26</v>
      </c>
      <c r="D432" s="13" t="s">
        <v>66</v>
      </c>
      <c r="E432" s="13" t="s">
        <v>81</v>
      </c>
      <c r="F432" s="6">
        <v>7500000</v>
      </c>
      <c r="G432" s="19">
        <v>0.16</v>
      </c>
      <c r="H432" s="15">
        <v>6</v>
      </c>
      <c r="I432" s="4">
        <v>45490</v>
      </c>
      <c r="J432" s="13" t="s">
        <v>14</v>
      </c>
      <c r="K432" s="12" t="s">
        <v>796</v>
      </c>
      <c r="L432" s="12" t="s">
        <v>814</v>
      </c>
      <c r="M432" s="7">
        <v>60000000</v>
      </c>
      <c r="N432" s="12" t="str">
        <f t="shared" si="6"/>
        <v>NORMAL</v>
      </c>
      <c r="O432" t="str">
        <f>_xlfn.XLOOKUP(C432,[1]branches!$A$2:$A$11,[1]branches!$D$2:$D$11,"No apecified")</f>
        <v>North</v>
      </c>
    </row>
    <row r="433" spans="1:15" x14ac:dyDescent="0.3">
      <c r="A433" s="11" t="s">
        <v>680</v>
      </c>
      <c r="B433" s="11" t="s">
        <v>87</v>
      </c>
      <c r="C433" s="11" t="s">
        <v>22</v>
      </c>
      <c r="D433" s="11" t="s">
        <v>30</v>
      </c>
      <c r="E433" s="11" t="s">
        <v>81</v>
      </c>
      <c r="F433" s="5">
        <v>1500000</v>
      </c>
      <c r="G433" s="18">
        <v>0.22</v>
      </c>
      <c r="H433" s="14">
        <v>12</v>
      </c>
      <c r="I433" s="3">
        <v>45490</v>
      </c>
      <c r="J433" s="11" t="s">
        <v>14</v>
      </c>
      <c r="K433" s="12" t="s">
        <v>795</v>
      </c>
      <c r="L433" s="12" t="s">
        <v>807</v>
      </c>
      <c r="M433" s="7">
        <v>30000000</v>
      </c>
      <c r="N433" s="12" t="str">
        <f t="shared" si="6"/>
        <v>NORMAL</v>
      </c>
      <c r="O433" t="str">
        <f>_xlfn.XLOOKUP(C433,[1]branches!$A$2:$A$11,[1]branches!$D$2:$D$11,"No apecified")</f>
        <v>North</v>
      </c>
    </row>
    <row r="434" spans="1:15" x14ac:dyDescent="0.3">
      <c r="A434" s="13" t="s">
        <v>681</v>
      </c>
      <c r="B434" s="13" t="s">
        <v>239</v>
      </c>
      <c r="C434" s="13" t="s">
        <v>17</v>
      </c>
      <c r="D434" s="13" t="s">
        <v>148</v>
      </c>
      <c r="E434" s="13" t="s">
        <v>760</v>
      </c>
      <c r="F434" s="6">
        <v>1000000</v>
      </c>
      <c r="G434" s="19">
        <v>0.2</v>
      </c>
      <c r="H434" s="15">
        <v>18</v>
      </c>
      <c r="I434" s="4">
        <v>45655</v>
      </c>
      <c r="J434" s="13" t="s">
        <v>33</v>
      </c>
      <c r="K434" s="12" t="s">
        <v>794</v>
      </c>
      <c r="L434" s="12" t="s">
        <v>821</v>
      </c>
      <c r="M434" s="7">
        <v>40000000</v>
      </c>
      <c r="N434" s="12" t="str">
        <f t="shared" si="6"/>
        <v>NORMAL</v>
      </c>
      <c r="O434" t="str">
        <f>_xlfn.XLOOKUP(C434,[1]branches!$A$2:$A$11,[1]branches!$D$2:$D$11,"No apecified")</f>
        <v>South-South</v>
      </c>
    </row>
    <row r="435" spans="1:15" x14ac:dyDescent="0.3">
      <c r="A435" s="11" t="s">
        <v>682</v>
      </c>
      <c r="B435" s="11" t="s">
        <v>500</v>
      </c>
      <c r="C435" s="11" t="s">
        <v>46</v>
      </c>
      <c r="D435" s="11" t="s">
        <v>96</v>
      </c>
      <c r="E435" s="11" t="s">
        <v>81</v>
      </c>
      <c r="F435" s="5">
        <v>2000000</v>
      </c>
      <c r="G435" s="18">
        <v>0.16</v>
      </c>
      <c r="H435" s="14">
        <v>36</v>
      </c>
      <c r="I435" s="3">
        <v>45435</v>
      </c>
      <c r="J435" s="11" t="s">
        <v>33</v>
      </c>
      <c r="K435" s="12" t="s">
        <v>799</v>
      </c>
      <c r="L435" s="12" t="s">
        <v>817</v>
      </c>
      <c r="M435" s="7">
        <v>40000000</v>
      </c>
      <c r="N435" s="12" t="str">
        <f t="shared" si="6"/>
        <v>NORMAL</v>
      </c>
      <c r="O435" t="str">
        <f>_xlfn.XLOOKUP(C435,[1]branches!$A$2:$A$11,[1]branches!$D$2:$D$11,"No apecified")</f>
        <v>South-West</v>
      </c>
    </row>
    <row r="436" spans="1:15" x14ac:dyDescent="0.3">
      <c r="A436" s="13" t="s">
        <v>683</v>
      </c>
      <c r="B436" s="13" t="s">
        <v>464</v>
      </c>
      <c r="C436" s="13" t="s">
        <v>42</v>
      </c>
      <c r="D436" s="13" t="s">
        <v>43</v>
      </c>
      <c r="E436" s="13" t="s">
        <v>39</v>
      </c>
      <c r="F436" s="6">
        <v>1000000</v>
      </c>
      <c r="G436" s="19">
        <v>0.16</v>
      </c>
      <c r="H436" s="15">
        <v>12</v>
      </c>
      <c r="I436" s="4">
        <v>45428</v>
      </c>
      <c r="J436" s="13" t="s">
        <v>33</v>
      </c>
      <c r="K436" s="12" t="s">
        <v>798</v>
      </c>
      <c r="L436" s="12" t="s">
        <v>809</v>
      </c>
      <c r="M436" s="7">
        <v>40000000</v>
      </c>
      <c r="N436" s="12" t="str">
        <f t="shared" si="6"/>
        <v>NORMAL</v>
      </c>
      <c r="O436" t="str">
        <f>_xlfn.XLOOKUP(C436,[1]branches!$A$2:$A$11,[1]branches!$D$2:$D$11,"No apecified")</f>
        <v>North</v>
      </c>
    </row>
    <row r="437" spans="1:15" x14ac:dyDescent="0.3">
      <c r="A437" s="11" t="s">
        <v>684</v>
      </c>
      <c r="B437" s="11" t="s">
        <v>671</v>
      </c>
      <c r="C437" s="11" t="s">
        <v>56</v>
      </c>
      <c r="D437" s="11" t="s">
        <v>57</v>
      </c>
      <c r="E437" s="11" t="s">
        <v>81</v>
      </c>
      <c r="F437" s="5">
        <v>2000000</v>
      </c>
      <c r="G437" s="18">
        <v>0.2</v>
      </c>
      <c r="H437" s="14">
        <v>6</v>
      </c>
      <c r="I437" s="3">
        <v>45575</v>
      </c>
      <c r="J437" s="11" t="s">
        <v>14</v>
      </c>
      <c r="K437" s="12" t="s">
        <v>801</v>
      </c>
      <c r="L437" s="12" t="s">
        <v>812</v>
      </c>
      <c r="M437" s="7">
        <v>50000000</v>
      </c>
      <c r="N437" s="12" t="str">
        <f t="shared" si="6"/>
        <v>NORMAL</v>
      </c>
      <c r="O437" t="str">
        <f>_xlfn.XLOOKUP(C437,[1]branches!$A$2:$A$11,[1]branches!$D$2:$D$11,"No apecified")</f>
        <v>South-West</v>
      </c>
    </row>
    <row r="438" spans="1:15" x14ac:dyDescent="0.3">
      <c r="A438" s="13" t="s">
        <v>685</v>
      </c>
      <c r="B438" s="13" t="s">
        <v>125</v>
      </c>
      <c r="C438" s="13" t="s">
        <v>36</v>
      </c>
      <c r="D438" s="13" t="s">
        <v>121</v>
      </c>
      <c r="E438" s="13" t="s">
        <v>760</v>
      </c>
      <c r="F438" s="6">
        <v>750000</v>
      </c>
      <c r="G438" s="19">
        <v>0.2</v>
      </c>
      <c r="H438" s="15">
        <v>6</v>
      </c>
      <c r="I438" s="4">
        <v>45582</v>
      </c>
      <c r="J438" s="13" t="s">
        <v>14</v>
      </c>
      <c r="K438" s="12" t="s">
        <v>797</v>
      </c>
      <c r="L438" s="12" t="s">
        <v>818</v>
      </c>
      <c r="M438" s="7">
        <v>30000000</v>
      </c>
      <c r="N438" s="12" t="str">
        <f t="shared" si="6"/>
        <v>NORMAL</v>
      </c>
      <c r="O438" t="str">
        <f>_xlfn.XLOOKUP(C438,[1]branches!$A$2:$A$11,[1]branches!$D$2:$D$11,"No apecified")</f>
        <v>South-South</v>
      </c>
    </row>
    <row r="439" spans="1:15" x14ac:dyDescent="0.3">
      <c r="A439" s="11" t="s">
        <v>686</v>
      </c>
      <c r="B439" s="11" t="s">
        <v>125</v>
      </c>
      <c r="C439" s="11" t="s">
        <v>36</v>
      </c>
      <c r="D439" s="11" t="s">
        <v>121</v>
      </c>
      <c r="E439" s="11" t="s">
        <v>760</v>
      </c>
      <c r="F439" s="5">
        <v>2000000</v>
      </c>
      <c r="G439" s="18">
        <v>0.24</v>
      </c>
      <c r="H439" s="14">
        <v>12</v>
      </c>
      <c r="I439" s="3">
        <v>45627</v>
      </c>
      <c r="J439" s="11" t="s">
        <v>19</v>
      </c>
      <c r="K439" s="12" t="s">
        <v>797</v>
      </c>
      <c r="L439" s="12" t="s">
        <v>818</v>
      </c>
      <c r="M439" s="7">
        <v>30000000</v>
      </c>
      <c r="N439" s="12" t="str">
        <f t="shared" si="6"/>
        <v>AT RISK</v>
      </c>
      <c r="O439" t="str">
        <f>_xlfn.XLOOKUP(C439,[1]branches!$A$2:$A$11,[1]branches!$D$2:$D$11,"No apecified")</f>
        <v>South-South</v>
      </c>
    </row>
    <row r="440" spans="1:15" x14ac:dyDescent="0.3">
      <c r="A440" s="13" t="s">
        <v>687</v>
      </c>
      <c r="B440" s="13" t="s">
        <v>224</v>
      </c>
      <c r="C440" s="13" t="s">
        <v>22</v>
      </c>
      <c r="D440" s="13" t="s">
        <v>30</v>
      </c>
      <c r="E440" s="13" t="s">
        <v>39</v>
      </c>
      <c r="F440" s="6">
        <v>1000000</v>
      </c>
      <c r="G440" s="19">
        <v>0.18</v>
      </c>
      <c r="H440" s="15">
        <v>24</v>
      </c>
      <c r="I440" s="4">
        <v>45454</v>
      </c>
      <c r="J440" s="13" t="s">
        <v>33</v>
      </c>
      <c r="K440" s="12" t="s">
        <v>795</v>
      </c>
      <c r="L440" s="12" t="s">
        <v>807</v>
      </c>
      <c r="M440" s="7">
        <v>30000000</v>
      </c>
      <c r="N440" s="12" t="str">
        <f t="shared" si="6"/>
        <v>NORMAL</v>
      </c>
      <c r="O440" t="str">
        <f>_xlfn.XLOOKUP(C440,[1]branches!$A$2:$A$11,[1]branches!$D$2:$D$11,"No apecified")</f>
        <v>North</v>
      </c>
    </row>
    <row r="441" spans="1:15" x14ac:dyDescent="0.3">
      <c r="A441" s="11" t="s">
        <v>688</v>
      </c>
      <c r="B441" s="11" t="s">
        <v>205</v>
      </c>
      <c r="C441" s="11" t="s">
        <v>60</v>
      </c>
      <c r="D441" s="11" t="s">
        <v>69</v>
      </c>
      <c r="E441" s="11" t="s">
        <v>81</v>
      </c>
      <c r="F441" s="5">
        <v>5000000</v>
      </c>
      <c r="G441" s="18">
        <v>0.16</v>
      </c>
      <c r="H441" s="14">
        <v>18</v>
      </c>
      <c r="I441" s="3">
        <v>45420</v>
      </c>
      <c r="J441" s="11" t="s">
        <v>14</v>
      </c>
      <c r="K441" s="12" t="s">
        <v>802</v>
      </c>
      <c r="L441" s="12" t="s">
        <v>815</v>
      </c>
      <c r="M441" s="7">
        <v>75000000</v>
      </c>
      <c r="N441" s="12" t="str">
        <f t="shared" si="6"/>
        <v>NORMAL</v>
      </c>
      <c r="O441" t="str">
        <f>_xlfn.XLOOKUP(C441,[1]branches!$A$2:$A$11,[1]branches!$D$2:$D$11,"No apecified")</f>
        <v>North</v>
      </c>
    </row>
    <row r="442" spans="1:15" x14ac:dyDescent="0.3">
      <c r="A442" s="13" t="s">
        <v>689</v>
      </c>
      <c r="B442" s="13" t="s">
        <v>207</v>
      </c>
      <c r="C442" s="13" t="s">
        <v>42</v>
      </c>
      <c r="D442" s="13" t="s">
        <v>43</v>
      </c>
      <c r="E442" s="13" t="s">
        <v>81</v>
      </c>
      <c r="F442" s="6">
        <v>500000</v>
      </c>
      <c r="G442" s="19">
        <v>0.2</v>
      </c>
      <c r="H442" s="15">
        <v>36</v>
      </c>
      <c r="I442" s="4">
        <v>45312</v>
      </c>
      <c r="J442" s="13" t="s">
        <v>14</v>
      </c>
      <c r="K442" s="12" t="s">
        <v>798</v>
      </c>
      <c r="L442" s="12" t="s">
        <v>809</v>
      </c>
      <c r="M442" s="7">
        <v>40000000</v>
      </c>
      <c r="N442" s="12" t="str">
        <f t="shared" si="6"/>
        <v>NORMAL</v>
      </c>
      <c r="O442" t="str">
        <f>_xlfn.XLOOKUP(C442,[1]branches!$A$2:$A$11,[1]branches!$D$2:$D$11,"No apecified")</f>
        <v>North</v>
      </c>
    </row>
    <row r="443" spans="1:15" x14ac:dyDescent="0.3">
      <c r="A443" s="11" t="s">
        <v>690</v>
      </c>
      <c r="B443" s="11" t="s">
        <v>114</v>
      </c>
      <c r="C443" s="11" t="s">
        <v>26</v>
      </c>
      <c r="D443" s="11" t="s">
        <v>66</v>
      </c>
      <c r="E443" s="11" t="s">
        <v>81</v>
      </c>
      <c r="F443" s="5">
        <v>1000000</v>
      </c>
      <c r="G443" s="18">
        <v>0.22</v>
      </c>
      <c r="H443" s="14">
        <v>12</v>
      </c>
      <c r="I443" s="3">
        <v>45541</v>
      </c>
      <c r="J443" s="11" t="s">
        <v>14</v>
      </c>
      <c r="K443" s="12" t="s">
        <v>796</v>
      </c>
      <c r="L443" s="12" t="s">
        <v>814</v>
      </c>
      <c r="M443" s="7">
        <v>60000000</v>
      </c>
      <c r="N443" s="12" t="str">
        <f t="shared" si="6"/>
        <v>NORMAL</v>
      </c>
      <c r="O443" t="str">
        <f>_xlfn.XLOOKUP(C443,[1]branches!$A$2:$A$11,[1]branches!$D$2:$D$11,"No apecified")</f>
        <v>North</v>
      </c>
    </row>
    <row r="444" spans="1:15" x14ac:dyDescent="0.3">
      <c r="A444" s="13" t="s">
        <v>691</v>
      </c>
      <c r="B444" s="13" t="s">
        <v>671</v>
      </c>
      <c r="C444" s="13" t="s">
        <v>56</v>
      </c>
      <c r="D444" s="13" t="s">
        <v>57</v>
      </c>
      <c r="E444" s="13" t="s">
        <v>760</v>
      </c>
      <c r="F444" s="6">
        <v>750000</v>
      </c>
      <c r="G444" s="19">
        <v>0.18</v>
      </c>
      <c r="H444" s="15">
        <v>18</v>
      </c>
      <c r="I444" s="4">
        <v>45377</v>
      </c>
      <c r="J444" s="13" t="s">
        <v>33</v>
      </c>
      <c r="K444" s="12" t="s">
        <v>801</v>
      </c>
      <c r="L444" s="12" t="s">
        <v>812</v>
      </c>
      <c r="M444" s="7">
        <v>50000000</v>
      </c>
      <c r="N444" s="12" t="str">
        <f t="shared" si="6"/>
        <v>NORMAL</v>
      </c>
      <c r="O444" t="str">
        <f>_xlfn.XLOOKUP(C444,[1]branches!$A$2:$A$11,[1]branches!$D$2:$D$11,"No apecified")</f>
        <v>South-West</v>
      </c>
    </row>
    <row r="445" spans="1:15" x14ac:dyDescent="0.3">
      <c r="A445" s="11" t="s">
        <v>692</v>
      </c>
      <c r="B445" s="11" t="s">
        <v>693</v>
      </c>
      <c r="C445" s="11" t="s">
        <v>56</v>
      </c>
      <c r="D445" s="11" t="s">
        <v>57</v>
      </c>
      <c r="E445" s="11" t="s">
        <v>39</v>
      </c>
      <c r="F445" s="5">
        <v>2000000</v>
      </c>
      <c r="G445" s="18">
        <v>0.22</v>
      </c>
      <c r="H445" s="14">
        <v>12</v>
      </c>
      <c r="I445" s="3">
        <v>45560</v>
      </c>
      <c r="J445" s="11" t="s">
        <v>33</v>
      </c>
      <c r="K445" s="12" t="s">
        <v>801</v>
      </c>
      <c r="L445" s="12" t="s">
        <v>812</v>
      </c>
      <c r="M445" s="7">
        <v>50000000</v>
      </c>
      <c r="N445" s="12" t="str">
        <f t="shared" si="6"/>
        <v>NORMAL</v>
      </c>
      <c r="O445" t="str">
        <f>_xlfn.XLOOKUP(C445,[1]branches!$A$2:$A$11,[1]branches!$D$2:$D$11,"No apecified")</f>
        <v>South-West</v>
      </c>
    </row>
    <row r="446" spans="1:15" x14ac:dyDescent="0.3">
      <c r="A446" s="13" t="s">
        <v>694</v>
      </c>
      <c r="B446" s="13" t="s">
        <v>95</v>
      </c>
      <c r="C446" s="13" t="s">
        <v>46</v>
      </c>
      <c r="D446" s="13" t="s">
        <v>96</v>
      </c>
      <c r="E446" s="13" t="s">
        <v>39</v>
      </c>
      <c r="F446" s="6">
        <v>500000</v>
      </c>
      <c r="G446" s="19">
        <v>0.24</v>
      </c>
      <c r="H446" s="15">
        <v>6</v>
      </c>
      <c r="I446" s="4">
        <v>45422</v>
      </c>
      <c r="J446" s="13" t="s">
        <v>33</v>
      </c>
      <c r="K446" s="12" t="s">
        <v>799</v>
      </c>
      <c r="L446" s="12" t="s">
        <v>817</v>
      </c>
      <c r="M446" s="7">
        <v>40000000</v>
      </c>
      <c r="N446" s="12" t="str">
        <f t="shared" si="6"/>
        <v>NORMAL</v>
      </c>
      <c r="O446" t="str">
        <f>_xlfn.XLOOKUP(C446,[1]branches!$A$2:$A$11,[1]branches!$D$2:$D$11,"No apecified")</f>
        <v>South-West</v>
      </c>
    </row>
    <row r="447" spans="1:15" x14ac:dyDescent="0.3">
      <c r="A447" s="11" t="s">
        <v>695</v>
      </c>
      <c r="B447" s="11" t="s">
        <v>257</v>
      </c>
      <c r="C447" s="11" t="s">
        <v>17</v>
      </c>
      <c r="D447" s="11" t="s">
        <v>148</v>
      </c>
      <c r="E447" s="11" t="s">
        <v>39</v>
      </c>
      <c r="F447" s="5">
        <v>1500000</v>
      </c>
      <c r="G447" s="18">
        <v>0.24</v>
      </c>
      <c r="H447" s="14">
        <v>6</v>
      </c>
      <c r="I447" s="3">
        <v>45467</v>
      </c>
      <c r="J447" s="11" t="s">
        <v>19</v>
      </c>
      <c r="K447" s="12" t="s">
        <v>794</v>
      </c>
      <c r="L447" s="12" t="s">
        <v>821</v>
      </c>
      <c r="M447" s="7">
        <v>40000000</v>
      </c>
      <c r="N447" s="12" t="str">
        <f t="shared" si="6"/>
        <v>AT RISK</v>
      </c>
      <c r="O447" t="str">
        <f>_xlfn.XLOOKUP(C447,[1]branches!$A$2:$A$11,[1]branches!$D$2:$D$11,"No apecified")</f>
        <v>South-South</v>
      </c>
    </row>
    <row r="448" spans="1:15" x14ac:dyDescent="0.3">
      <c r="A448" s="13" t="s">
        <v>696</v>
      </c>
      <c r="B448" s="13" t="s">
        <v>574</v>
      </c>
      <c r="C448" s="13" t="s">
        <v>36</v>
      </c>
      <c r="D448" s="13" t="s">
        <v>37</v>
      </c>
      <c r="E448" s="13" t="s">
        <v>760</v>
      </c>
      <c r="F448" s="6">
        <v>10000000</v>
      </c>
      <c r="G448" s="19">
        <v>0.22</v>
      </c>
      <c r="H448" s="15">
        <v>12</v>
      </c>
      <c r="I448" s="4">
        <v>45409</v>
      </c>
      <c r="J448" s="13" t="s">
        <v>14</v>
      </c>
      <c r="K448" s="12" t="s">
        <v>797</v>
      </c>
      <c r="L448" s="12" t="s">
        <v>808</v>
      </c>
      <c r="M448" s="7">
        <v>40000000</v>
      </c>
      <c r="N448" s="12" t="str">
        <f t="shared" si="6"/>
        <v>NORMAL</v>
      </c>
      <c r="O448" t="str">
        <f>_xlfn.XLOOKUP(C448,[1]branches!$A$2:$A$11,[1]branches!$D$2:$D$11,"No apecified")</f>
        <v>South-South</v>
      </c>
    </row>
    <row r="449" spans="1:15" x14ac:dyDescent="0.3">
      <c r="A449" s="11" t="s">
        <v>697</v>
      </c>
      <c r="B449" s="11" t="s">
        <v>49</v>
      </c>
      <c r="C449" s="11" t="s">
        <v>50</v>
      </c>
      <c r="D449" s="11" t="s">
        <v>51</v>
      </c>
      <c r="E449" s="11" t="s">
        <v>760</v>
      </c>
      <c r="F449" s="5">
        <v>2000000</v>
      </c>
      <c r="G449" s="18">
        <v>0.2</v>
      </c>
      <c r="H449" s="14">
        <v>24</v>
      </c>
      <c r="I449" s="3">
        <v>45468</v>
      </c>
      <c r="J449" s="11" t="s">
        <v>14</v>
      </c>
      <c r="K449" s="12" t="s">
        <v>800</v>
      </c>
      <c r="L449" s="12" t="s">
        <v>811</v>
      </c>
      <c r="M449" s="7">
        <v>75000000</v>
      </c>
      <c r="N449" s="12" t="str">
        <f t="shared" si="6"/>
        <v>NORMAL</v>
      </c>
      <c r="O449" t="str">
        <f>_xlfn.XLOOKUP(C449,[1]branches!$A$2:$A$11,[1]branches!$D$2:$D$11,"No apecified")</f>
        <v>South-West</v>
      </c>
    </row>
    <row r="450" spans="1:15" x14ac:dyDescent="0.3">
      <c r="A450" s="13" t="s">
        <v>698</v>
      </c>
      <c r="B450" s="13" t="s">
        <v>334</v>
      </c>
      <c r="C450" s="13" t="s">
        <v>60</v>
      </c>
      <c r="D450" s="13" t="s">
        <v>69</v>
      </c>
      <c r="E450" s="13" t="s">
        <v>81</v>
      </c>
      <c r="F450" s="6">
        <v>750000</v>
      </c>
      <c r="G450" s="19">
        <v>0.18</v>
      </c>
      <c r="H450" s="15">
        <v>18</v>
      </c>
      <c r="I450" s="4">
        <v>45500</v>
      </c>
      <c r="J450" s="13" t="s">
        <v>14</v>
      </c>
      <c r="K450" s="12" t="s">
        <v>802</v>
      </c>
      <c r="L450" s="12" t="s">
        <v>815</v>
      </c>
      <c r="M450" s="7">
        <v>75000000</v>
      </c>
      <c r="N450" s="12" t="str">
        <f t="shared" ref="N450:N501" si="7">IF(AND(J450="Defaulted",F450&gt;2000000), "HIGH RISK", IF(J450="Defaulted", "AT RISK", "NORMAL"))</f>
        <v>NORMAL</v>
      </c>
      <c r="O450" t="str">
        <f>_xlfn.XLOOKUP(C450,[1]branches!$A$2:$A$11,[1]branches!$D$2:$D$11,"No apecified")</f>
        <v>North</v>
      </c>
    </row>
    <row r="451" spans="1:15" x14ac:dyDescent="0.3">
      <c r="A451" s="13" t="s">
        <v>699</v>
      </c>
      <c r="B451" s="13" t="s">
        <v>310</v>
      </c>
      <c r="C451" s="13" t="s">
        <v>26</v>
      </c>
      <c r="D451" s="13" t="s">
        <v>66</v>
      </c>
      <c r="E451" s="13" t="s">
        <v>760</v>
      </c>
      <c r="F451" s="6">
        <v>5000000</v>
      </c>
      <c r="G451" s="19">
        <v>0.2</v>
      </c>
      <c r="H451" s="15">
        <v>12</v>
      </c>
      <c r="I451" s="4">
        <v>45382</v>
      </c>
      <c r="J451" s="13" t="s">
        <v>19</v>
      </c>
      <c r="K451" s="12" t="s">
        <v>796</v>
      </c>
      <c r="L451" s="12" t="s">
        <v>814</v>
      </c>
      <c r="M451" s="7">
        <v>60000000</v>
      </c>
      <c r="N451" s="12" t="str">
        <f t="shared" si="7"/>
        <v>HIGH RISK</v>
      </c>
      <c r="O451" t="str">
        <f>_xlfn.XLOOKUP(C451,[1]branches!$A$2:$A$11,[1]branches!$D$2:$D$11,"No apecified")</f>
        <v>North</v>
      </c>
    </row>
    <row r="452" spans="1:15" x14ac:dyDescent="0.3">
      <c r="A452" s="11" t="s">
        <v>700</v>
      </c>
      <c r="B452" s="11" t="s">
        <v>120</v>
      </c>
      <c r="C452" s="11" t="s">
        <v>36</v>
      </c>
      <c r="D452" s="11" t="s">
        <v>121</v>
      </c>
      <c r="E452" s="11" t="s">
        <v>760</v>
      </c>
      <c r="F452" s="5">
        <v>500000</v>
      </c>
      <c r="G452" s="18">
        <v>0.22</v>
      </c>
      <c r="H452" s="14">
        <v>6</v>
      </c>
      <c r="I452" s="3">
        <v>45346</v>
      </c>
      <c r="J452" s="11" t="s">
        <v>33</v>
      </c>
      <c r="K452" s="12" t="s">
        <v>797</v>
      </c>
      <c r="L452" s="12" t="s">
        <v>818</v>
      </c>
      <c r="M452" s="7">
        <v>30000000</v>
      </c>
      <c r="N452" s="12" t="str">
        <f t="shared" si="7"/>
        <v>NORMAL</v>
      </c>
      <c r="O452" t="str">
        <f>_xlfn.XLOOKUP(C452,[1]branches!$A$2:$A$11,[1]branches!$D$2:$D$11,"No apecified")</f>
        <v>South-South</v>
      </c>
    </row>
    <row r="453" spans="1:15" x14ac:dyDescent="0.3">
      <c r="A453" s="13" t="s">
        <v>701</v>
      </c>
      <c r="B453" s="13" t="s">
        <v>430</v>
      </c>
      <c r="C453" s="13" t="s">
        <v>17</v>
      </c>
      <c r="D453" s="13" t="s">
        <v>18</v>
      </c>
      <c r="E453" s="13" t="s">
        <v>760</v>
      </c>
      <c r="F453" s="6">
        <v>750000</v>
      </c>
      <c r="G453" s="19">
        <v>0.16</v>
      </c>
      <c r="H453" s="15">
        <v>18</v>
      </c>
      <c r="I453" s="4">
        <v>45342</v>
      </c>
      <c r="J453" s="13" t="s">
        <v>14</v>
      </c>
      <c r="K453" s="12" t="s">
        <v>794</v>
      </c>
      <c r="L453" s="12" t="s">
        <v>804</v>
      </c>
      <c r="M453" s="7">
        <v>75000000</v>
      </c>
      <c r="N453" s="12" t="str">
        <f t="shared" si="7"/>
        <v>NORMAL</v>
      </c>
      <c r="O453" t="str">
        <f>_xlfn.XLOOKUP(C453,[1]branches!$A$2:$A$11,[1]branches!$D$2:$D$11,"No apecified")</f>
        <v>South-South</v>
      </c>
    </row>
    <row r="454" spans="1:15" x14ac:dyDescent="0.3">
      <c r="A454" s="11" t="s">
        <v>702</v>
      </c>
      <c r="B454" s="11" t="s">
        <v>279</v>
      </c>
      <c r="C454" s="11" t="s">
        <v>60</v>
      </c>
      <c r="D454" s="11" t="s">
        <v>61</v>
      </c>
      <c r="E454" s="11" t="s">
        <v>39</v>
      </c>
      <c r="F454" s="5">
        <v>1000000</v>
      </c>
      <c r="G454" s="18">
        <v>0.24</v>
      </c>
      <c r="H454" s="14">
        <v>18</v>
      </c>
      <c r="I454" s="3">
        <v>45478</v>
      </c>
      <c r="J454" s="11" t="s">
        <v>14</v>
      </c>
      <c r="K454" s="12" t="s">
        <v>802</v>
      </c>
      <c r="L454" s="12" t="s">
        <v>813</v>
      </c>
      <c r="M454" s="7">
        <v>75000000</v>
      </c>
      <c r="N454" s="12" t="str">
        <f t="shared" si="7"/>
        <v>NORMAL</v>
      </c>
      <c r="O454" t="str">
        <f>_xlfn.XLOOKUP(C454,[1]branches!$A$2:$A$11,[1]branches!$D$2:$D$11,"No apecified")</f>
        <v>North</v>
      </c>
    </row>
    <row r="455" spans="1:15" x14ac:dyDescent="0.3">
      <c r="A455" s="13" t="s">
        <v>703</v>
      </c>
      <c r="B455" s="13" t="s">
        <v>550</v>
      </c>
      <c r="C455" s="13" t="s">
        <v>42</v>
      </c>
      <c r="D455" s="13" t="s">
        <v>282</v>
      </c>
      <c r="E455" s="13" t="s">
        <v>760</v>
      </c>
      <c r="F455" s="6">
        <v>1500000</v>
      </c>
      <c r="G455" s="19">
        <v>0.2</v>
      </c>
      <c r="H455" s="15">
        <v>36</v>
      </c>
      <c r="I455" s="4">
        <v>45559</v>
      </c>
      <c r="J455" s="13" t="s">
        <v>14</v>
      </c>
      <c r="K455" s="12" t="s">
        <v>798</v>
      </c>
      <c r="L455" s="12" t="s">
        <v>822</v>
      </c>
      <c r="M455" s="7">
        <v>50000000</v>
      </c>
      <c r="N455" s="12" t="str">
        <f t="shared" si="7"/>
        <v>NORMAL</v>
      </c>
      <c r="O455" t="str">
        <f>_xlfn.XLOOKUP(C455,[1]branches!$A$2:$A$11,[1]branches!$D$2:$D$11,"No apecified")</f>
        <v>North</v>
      </c>
    </row>
    <row r="456" spans="1:15" x14ac:dyDescent="0.3">
      <c r="A456" s="11" t="s">
        <v>704</v>
      </c>
      <c r="B456" s="11" t="s">
        <v>53</v>
      </c>
      <c r="C456" s="11" t="s">
        <v>36</v>
      </c>
      <c r="D456" s="11" t="s">
        <v>37</v>
      </c>
      <c r="E456" s="11" t="s">
        <v>39</v>
      </c>
      <c r="F456" s="5">
        <v>2000000</v>
      </c>
      <c r="G456" s="18">
        <v>0.2</v>
      </c>
      <c r="H456" s="14">
        <v>6</v>
      </c>
      <c r="I456" s="3">
        <v>45440</v>
      </c>
      <c r="J456" s="11" t="s">
        <v>14</v>
      </c>
      <c r="K456" s="12" t="s">
        <v>797</v>
      </c>
      <c r="L456" s="12" t="s">
        <v>808</v>
      </c>
      <c r="M456" s="7">
        <v>40000000</v>
      </c>
      <c r="N456" s="12" t="str">
        <f t="shared" si="7"/>
        <v>NORMAL</v>
      </c>
      <c r="O456" t="str">
        <f>_xlfn.XLOOKUP(C456,[1]branches!$A$2:$A$11,[1]branches!$D$2:$D$11,"No apecified")</f>
        <v>South-South</v>
      </c>
    </row>
    <row r="457" spans="1:15" x14ac:dyDescent="0.3">
      <c r="A457" s="13" t="s">
        <v>705</v>
      </c>
      <c r="B457" s="13" t="s">
        <v>484</v>
      </c>
      <c r="C457" s="13" t="s">
        <v>17</v>
      </c>
      <c r="D457" s="13" t="s">
        <v>18</v>
      </c>
      <c r="E457" s="13" t="s">
        <v>760</v>
      </c>
      <c r="F457" s="6">
        <v>5000000</v>
      </c>
      <c r="G457" s="19">
        <v>0.22</v>
      </c>
      <c r="H457" s="15">
        <v>12</v>
      </c>
      <c r="I457" s="4">
        <v>45336</v>
      </c>
      <c r="J457" s="13" t="s">
        <v>33</v>
      </c>
      <c r="K457" s="12" t="s">
        <v>794</v>
      </c>
      <c r="L457" s="12" t="s">
        <v>804</v>
      </c>
      <c r="M457" s="7">
        <v>75000000</v>
      </c>
      <c r="N457" s="12" t="str">
        <f t="shared" si="7"/>
        <v>NORMAL</v>
      </c>
      <c r="O457" t="str">
        <f>_xlfn.XLOOKUP(C457,[1]branches!$A$2:$A$11,[1]branches!$D$2:$D$11,"No apecified")</f>
        <v>South-South</v>
      </c>
    </row>
    <row r="458" spans="1:15" x14ac:dyDescent="0.3">
      <c r="A458" s="11" t="s">
        <v>706</v>
      </c>
      <c r="B458" s="11" t="s">
        <v>707</v>
      </c>
      <c r="C458" s="11" t="s">
        <v>60</v>
      </c>
      <c r="D458" s="11" t="s">
        <v>61</v>
      </c>
      <c r="E458" s="11" t="s">
        <v>81</v>
      </c>
      <c r="F458" s="5">
        <v>5000000</v>
      </c>
      <c r="G458" s="18">
        <v>0.18</v>
      </c>
      <c r="H458" s="14">
        <v>12</v>
      </c>
      <c r="I458" s="3">
        <v>45453</v>
      </c>
      <c r="J458" s="11" t="s">
        <v>33</v>
      </c>
      <c r="K458" s="12" t="s">
        <v>802</v>
      </c>
      <c r="L458" s="12" t="s">
        <v>813</v>
      </c>
      <c r="M458" s="7">
        <v>75000000</v>
      </c>
      <c r="N458" s="12" t="str">
        <f t="shared" si="7"/>
        <v>NORMAL</v>
      </c>
      <c r="O458" t="str">
        <f>_xlfn.XLOOKUP(C458,[1]branches!$A$2:$A$11,[1]branches!$D$2:$D$11,"No apecified")</f>
        <v>North</v>
      </c>
    </row>
    <row r="459" spans="1:15" x14ac:dyDescent="0.3">
      <c r="A459" s="13" t="s">
        <v>708</v>
      </c>
      <c r="B459" s="13" t="s">
        <v>709</v>
      </c>
      <c r="C459" s="13" t="s">
        <v>46</v>
      </c>
      <c r="D459" s="13" t="s">
        <v>47</v>
      </c>
      <c r="E459" s="13" t="s">
        <v>81</v>
      </c>
      <c r="F459" s="6">
        <v>10000000</v>
      </c>
      <c r="G459" s="19">
        <v>0.22</v>
      </c>
      <c r="H459" s="15">
        <v>36</v>
      </c>
      <c r="I459" s="4">
        <v>45563</v>
      </c>
      <c r="J459" s="13" t="s">
        <v>33</v>
      </c>
      <c r="K459" s="12" t="s">
        <v>799</v>
      </c>
      <c r="L459" s="12" t="s">
        <v>810</v>
      </c>
      <c r="M459" s="7">
        <v>30000000</v>
      </c>
      <c r="N459" s="12" t="str">
        <f t="shared" si="7"/>
        <v>NORMAL</v>
      </c>
      <c r="O459" t="str">
        <f>_xlfn.XLOOKUP(C459,[1]branches!$A$2:$A$11,[1]branches!$D$2:$D$11,"No apecified")</f>
        <v>South-West</v>
      </c>
    </row>
    <row r="460" spans="1:15" x14ac:dyDescent="0.3">
      <c r="A460" s="11" t="s">
        <v>710</v>
      </c>
      <c r="B460" s="11" t="s">
        <v>585</v>
      </c>
      <c r="C460" s="11" t="s">
        <v>36</v>
      </c>
      <c r="D460" s="11" t="s">
        <v>121</v>
      </c>
      <c r="E460" s="11" t="s">
        <v>81</v>
      </c>
      <c r="F460" s="5">
        <v>5000000</v>
      </c>
      <c r="G460" s="18">
        <v>0.18</v>
      </c>
      <c r="H460" s="14">
        <v>24</v>
      </c>
      <c r="I460" s="3">
        <v>45494</v>
      </c>
      <c r="J460" s="11" t="s">
        <v>14</v>
      </c>
      <c r="K460" s="12" t="s">
        <v>797</v>
      </c>
      <c r="L460" s="12" t="s">
        <v>818</v>
      </c>
      <c r="M460" s="7">
        <v>30000000</v>
      </c>
      <c r="N460" s="12" t="str">
        <f t="shared" si="7"/>
        <v>NORMAL</v>
      </c>
      <c r="O460" t="str">
        <f>_xlfn.XLOOKUP(C460,[1]branches!$A$2:$A$11,[1]branches!$D$2:$D$11,"No apecified")</f>
        <v>South-South</v>
      </c>
    </row>
    <row r="461" spans="1:15" x14ac:dyDescent="0.3">
      <c r="A461" s="13" t="s">
        <v>711</v>
      </c>
      <c r="B461" s="13" t="s">
        <v>32</v>
      </c>
      <c r="C461" s="13" t="s">
        <v>22</v>
      </c>
      <c r="D461" s="13" t="s">
        <v>30</v>
      </c>
      <c r="E461" s="13" t="s">
        <v>760</v>
      </c>
      <c r="F461" s="6">
        <v>1500000</v>
      </c>
      <c r="G461" s="19">
        <v>0.24</v>
      </c>
      <c r="H461" s="15">
        <v>36</v>
      </c>
      <c r="I461" s="4">
        <v>45556</v>
      </c>
      <c r="J461" s="13" t="s">
        <v>14</v>
      </c>
      <c r="K461" s="12" t="s">
        <v>795</v>
      </c>
      <c r="L461" s="12" t="s">
        <v>807</v>
      </c>
      <c r="M461" s="7">
        <v>30000000</v>
      </c>
      <c r="N461" s="12" t="str">
        <f t="shared" si="7"/>
        <v>NORMAL</v>
      </c>
      <c r="O461" t="str">
        <f>_xlfn.XLOOKUP(C461,[1]branches!$A$2:$A$11,[1]branches!$D$2:$D$11,"No apecified")</f>
        <v>North</v>
      </c>
    </row>
    <row r="462" spans="1:15" x14ac:dyDescent="0.3">
      <c r="A462" s="11" t="s">
        <v>712</v>
      </c>
      <c r="B462" s="11" t="s">
        <v>640</v>
      </c>
      <c r="C462" s="11" t="s">
        <v>26</v>
      </c>
      <c r="D462" s="11" t="s">
        <v>27</v>
      </c>
      <c r="E462" s="11" t="s">
        <v>39</v>
      </c>
      <c r="F462" s="5">
        <v>2000000</v>
      </c>
      <c r="G462" s="18">
        <v>0.16</v>
      </c>
      <c r="H462" s="14">
        <v>6</v>
      </c>
      <c r="I462" s="3">
        <v>45347</v>
      </c>
      <c r="J462" s="11" t="s">
        <v>33</v>
      </c>
      <c r="K462" s="12" t="s">
        <v>796</v>
      </c>
      <c r="L462" s="12" t="s">
        <v>806</v>
      </c>
      <c r="M462" s="7">
        <v>50000000</v>
      </c>
      <c r="N462" s="12" t="str">
        <f t="shared" si="7"/>
        <v>NORMAL</v>
      </c>
      <c r="O462" t="str">
        <f>_xlfn.XLOOKUP(C462,[1]branches!$A$2:$A$11,[1]branches!$D$2:$D$11,"No apecified")</f>
        <v>North</v>
      </c>
    </row>
    <row r="463" spans="1:15" x14ac:dyDescent="0.3">
      <c r="A463" s="13" t="s">
        <v>713</v>
      </c>
      <c r="B463" s="13" t="s">
        <v>49</v>
      </c>
      <c r="C463" s="13" t="s">
        <v>50</v>
      </c>
      <c r="D463" s="13" t="s">
        <v>51</v>
      </c>
      <c r="E463" s="13" t="s">
        <v>760</v>
      </c>
      <c r="F463" s="6">
        <v>10000000</v>
      </c>
      <c r="G463" s="19">
        <v>0.18</v>
      </c>
      <c r="H463" s="15">
        <v>18</v>
      </c>
      <c r="I463" s="4">
        <v>45585</v>
      </c>
      <c r="J463" s="13" t="s">
        <v>33</v>
      </c>
      <c r="K463" s="12" t="s">
        <v>800</v>
      </c>
      <c r="L463" s="12" t="s">
        <v>811</v>
      </c>
      <c r="M463" s="7">
        <v>75000000</v>
      </c>
      <c r="N463" s="12" t="str">
        <f t="shared" si="7"/>
        <v>NORMAL</v>
      </c>
      <c r="O463" t="str">
        <f>_xlfn.XLOOKUP(C463,[1]branches!$A$2:$A$11,[1]branches!$D$2:$D$11,"No apecified")</f>
        <v>South-West</v>
      </c>
    </row>
    <row r="464" spans="1:15" x14ac:dyDescent="0.3">
      <c r="A464" s="11" t="s">
        <v>714</v>
      </c>
      <c r="B464" s="11" t="s">
        <v>535</v>
      </c>
      <c r="C464" s="11" t="s">
        <v>12</v>
      </c>
      <c r="D464" s="11" t="s">
        <v>13</v>
      </c>
      <c r="E464" s="11" t="s">
        <v>39</v>
      </c>
      <c r="F464" s="5">
        <v>750000</v>
      </c>
      <c r="G464" s="18">
        <v>0.16</v>
      </c>
      <c r="H464" s="14">
        <v>36</v>
      </c>
      <c r="I464" s="3">
        <v>45496</v>
      </c>
      <c r="J464" s="11" t="s">
        <v>33</v>
      </c>
      <c r="K464" s="12" t="s">
        <v>793</v>
      </c>
      <c r="L464" s="12" t="s">
        <v>803</v>
      </c>
      <c r="M464" s="7">
        <v>75000000</v>
      </c>
      <c r="N464" s="12" t="str">
        <f t="shared" si="7"/>
        <v>NORMAL</v>
      </c>
      <c r="O464" t="str">
        <f>_xlfn.XLOOKUP(C464,[1]branches!$A$2:$A$11,[1]branches!$D$2:$D$11,"No apecified")</f>
        <v>North</v>
      </c>
    </row>
    <row r="465" spans="1:15" x14ac:dyDescent="0.3">
      <c r="A465" s="13" t="s">
        <v>715</v>
      </c>
      <c r="B465" s="13" t="s">
        <v>108</v>
      </c>
      <c r="C465" s="13" t="s">
        <v>42</v>
      </c>
      <c r="D465" s="13" t="s">
        <v>43</v>
      </c>
      <c r="E465" s="13" t="s">
        <v>39</v>
      </c>
      <c r="F465" s="6">
        <v>750000</v>
      </c>
      <c r="G465" s="19">
        <v>0.18</v>
      </c>
      <c r="H465" s="15">
        <v>24</v>
      </c>
      <c r="I465" s="4">
        <v>45570</v>
      </c>
      <c r="J465" s="13" t="s">
        <v>33</v>
      </c>
      <c r="K465" s="12" t="s">
        <v>798</v>
      </c>
      <c r="L465" s="12" t="s">
        <v>809</v>
      </c>
      <c r="M465" s="7">
        <v>40000000</v>
      </c>
      <c r="N465" s="12" t="str">
        <f t="shared" si="7"/>
        <v>NORMAL</v>
      </c>
      <c r="O465" t="str">
        <f>_xlfn.XLOOKUP(C465,[1]branches!$A$2:$A$11,[1]branches!$D$2:$D$11,"No apecified")</f>
        <v>North</v>
      </c>
    </row>
    <row r="466" spans="1:15" x14ac:dyDescent="0.3">
      <c r="A466" s="11" t="s">
        <v>716</v>
      </c>
      <c r="B466" s="11" t="s">
        <v>717</v>
      </c>
      <c r="C466" s="11" t="s">
        <v>50</v>
      </c>
      <c r="D466" s="11" t="s">
        <v>134</v>
      </c>
      <c r="E466" s="11" t="s">
        <v>39</v>
      </c>
      <c r="F466" s="5">
        <v>2000000</v>
      </c>
      <c r="G466" s="18">
        <v>0.24</v>
      </c>
      <c r="H466" s="14">
        <v>36</v>
      </c>
      <c r="I466" s="3">
        <v>45640</v>
      </c>
      <c r="J466" s="11" t="s">
        <v>33</v>
      </c>
      <c r="K466" s="12" t="s">
        <v>800</v>
      </c>
      <c r="L466" s="12" t="s">
        <v>819</v>
      </c>
      <c r="M466" s="7">
        <v>75000000</v>
      </c>
      <c r="N466" s="12" t="str">
        <f t="shared" si="7"/>
        <v>NORMAL</v>
      </c>
      <c r="O466" t="str">
        <f>_xlfn.XLOOKUP(C466,[1]branches!$A$2:$A$11,[1]branches!$D$2:$D$11,"No apecified")</f>
        <v>South-West</v>
      </c>
    </row>
    <row r="467" spans="1:15" x14ac:dyDescent="0.3">
      <c r="A467" s="11" t="s">
        <v>718</v>
      </c>
      <c r="B467" s="11" t="s">
        <v>439</v>
      </c>
      <c r="C467" s="11" t="s">
        <v>12</v>
      </c>
      <c r="D467" s="11" t="s">
        <v>145</v>
      </c>
      <c r="E467" s="11" t="s">
        <v>760</v>
      </c>
      <c r="F467" s="5">
        <v>5000000</v>
      </c>
      <c r="G467" s="18">
        <v>0.16</v>
      </c>
      <c r="H467" s="14">
        <v>12</v>
      </c>
      <c r="I467" s="3">
        <v>45520</v>
      </c>
      <c r="J467" s="11" t="s">
        <v>19</v>
      </c>
      <c r="K467" s="12" t="s">
        <v>793</v>
      </c>
      <c r="L467" s="12" t="s">
        <v>820</v>
      </c>
      <c r="M467" s="7">
        <v>40000000</v>
      </c>
      <c r="N467" s="12" t="str">
        <f t="shared" si="7"/>
        <v>HIGH RISK</v>
      </c>
      <c r="O467" t="str">
        <f>_xlfn.XLOOKUP(C467,[1]branches!$A$2:$A$11,[1]branches!$D$2:$D$11,"No apecified")</f>
        <v>North</v>
      </c>
    </row>
    <row r="468" spans="1:15" x14ac:dyDescent="0.3">
      <c r="A468" s="11" t="s">
        <v>719</v>
      </c>
      <c r="B468" s="11" t="s">
        <v>35</v>
      </c>
      <c r="C468" s="11" t="s">
        <v>36</v>
      </c>
      <c r="D468" s="11" t="s">
        <v>37</v>
      </c>
      <c r="E468" s="11" t="s">
        <v>39</v>
      </c>
      <c r="F468" s="5">
        <v>750000</v>
      </c>
      <c r="G468" s="18">
        <v>0.2</v>
      </c>
      <c r="H468" s="14">
        <v>36</v>
      </c>
      <c r="I468" s="3">
        <v>45503</v>
      </c>
      <c r="J468" s="11" t="s">
        <v>14</v>
      </c>
      <c r="K468" s="12" t="s">
        <v>797</v>
      </c>
      <c r="L468" s="12" t="s">
        <v>808</v>
      </c>
      <c r="M468" s="7">
        <v>40000000</v>
      </c>
      <c r="N468" s="12" t="str">
        <f t="shared" si="7"/>
        <v>NORMAL</v>
      </c>
      <c r="O468" t="str">
        <f>_xlfn.XLOOKUP(C468,[1]branches!$A$2:$A$11,[1]branches!$D$2:$D$11,"No apecified")</f>
        <v>South-South</v>
      </c>
    </row>
    <row r="469" spans="1:15" x14ac:dyDescent="0.3">
      <c r="A469" s="13" t="s">
        <v>720</v>
      </c>
      <c r="B469" s="13" t="s">
        <v>435</v>
      </c>
      <c r="C469" s="13" t="s">
        <v>26</v>
      </c>
      <c r="D469" s="13" t="s">
        <v>27</v>
      </c>
      <c r="E469" s="13" t="s">
        <v>81</v>
      </c>
      <c r="F469" s="6">
        <v>2000000</v>
      </c>
      <c r="G469" s="19">
        <v>0.16</v>
      </c>
      <c r="H469" s="15">
        <v>18</v>
      </c>
      <c r="I469" s="4">
        <v>45306</v>
      </c>
      <c r="J469" s="13" t="s">
        <v>33</v>
      </c>
      <c r="K469" s="12" t="s">
        <v>796</v>
      </c>
      <c r="L469" s="12" t="s">
        <v>806</v>
      </c>
      <c r="M469" s="7">
        <v>50000000</v>
      </c>
      <c r="N469" s="12" t="str">
        <f t="shared" si="7"/>
        <v>NORMAL</v>
      </c>
      <c r="O469" t="str">
        <f>_xlfn.XLOOKUP(C469,[1]branches!$A$2:$A$11,[1]branches!$D$2:$D$11,"No apecified")</f>
        <v>North</v>
      </c>
    </row>
    <row r="470" spans="1:15" x14ac:dyDescent="0.3">
      <c r="A470" s="11" t="s">
        <v>721</v>
      </c>
      <c r="B470" s="11" t="s">
        <v>344</v>
      </c>
      <c r="C470" s="11" t="s">
        <v>22</v>
      </c>
      <c r="D470" s="11" t="s">
        <v>30</v>
      </c>
      <c r="E470" s="11" t="s">
        <v>39</v>
      </c>
      <c r="F470" s="5">
        <v>750000</v>
      </c>
      <c r="G470" s="18">
        <v>0.22</v>
      </c>
      <c r="H470" s="14">
        <v>24</v>
      </c>
      <c r="I470" s="3">
        <v>45498</v>
      </c>
      <c r="J470" s="11" t="s">
        <v>14</v>
      </c>
      <c r="K470" s="12" t="s">
        <v>795</v>
      </c>
      <c r="L470" s="12" t="s">
        <v>807</v>
      </c>
      <c r="M470" s="7">
        <v>30000000</v>
      </c>
      <c r="N470" s="12" t="str">
        <f t="shared" si="7"/>
        <v>NORMAL</v>
      </c>
      <c r="O470" t="str">
        <f>_xlfn.XLOOKUP(C470,[1]branches!$A$2:$A$11,[1]branches!$D$2:$D$11,"No apecified")</f>
        <v>North</v>
      </c>
    </row>
    <row r="471" spans="1:15" x14ac:dyDescent="0.3">
      <c r="A471" s="13" t="s">
        <v>722</v>
      </c>
      <c r="B471" s="13" t="s">
        <v>559</v>
      </c>
      <c r="C471" s="13" t="s">
        <v>50</v>
      </c>
      <c r="D471" s="13" t="s">
        <v>51</v>
      </c>
      <c r="E471" s="13" t="s">
        <v>39</v>
      </c>
      <c r="F471" s="6">
        <v>5000000</v>
      </c>
      <c r="G471" s="19">
        <v>0.18</v>
      </c>
      <c r="H471" s="15">
        <v>6</v>
      </c>
      <c r="I471" s="4">
        <v>45654</v>
      </c>
      <c r="J471" s="13" t="s">
        <v>33</v>
      </c>
      <c r="K471" s="12" t="s">
        <v>800</v>
      </c>
      <c r="L471" s="12" t="s">
        <v>811</v>
      </c>
      <c r="M471" s="7">
        <v>75000000</v>
      </c>
      <c r="N471" s="12" t="str">
        <f t="shared" si="7"/>
        <v>NORMAL</v>
      </c>
      <c r="O471" t="str">
        <f>_xlfn.XLOOKUP(C471,[1]branches!$A$2:$A$11,[1]branches!$D$2:$D$11,"No apecified")</f>
        <v>South-West</v>
      </c>
    </row>
    <row r="472" spans="1:15" x14ac:dyDescent="0.3">
      <c r="A472" s="11" t="s">
        <v>723</v>
      </c>
      <c r="B472" s="11" t="s">
        <v>246</v>
      </c>
      <c r="C472" s="11" t="s">
        <v>56</v>
      </c>
      <c r="D472" s="11" t="s">
        <v>57</v>
      </c>
      <c r="E472" s="11" t="s">
        <v>760</v>
      </c>
      <c r="F472" s="5">
        <v>5000000</v>
      </c>
      <c r="G472" s="18">
        <v>0.16</v>
      </c>
      <c r="H472" s="14">
        <v>36</v>
      </c>
      <c r="I472" s="3">
        <v>45567</v>
      </c>
      <c r="J472" s="11" t="s">
        <v>33</v>
      </c>
      <c r="K472" s="12" t="s">
        <v>801</v>
      </c>
      <c r="L472" s="12" t="s">
        <v>812</v>
      </c>
      <c r="M472" s="7">
        <v>50000000</v>
      </c>
      <c r="N472" s="12" t="str">
        <f t="shared" si="7"/>
        <v>NORMAL</v>
      </c>
      <c r="O472" t="str">
        <f>_xlfn.XLOOKUP(C472,[1]branches!$A$2:$A$11,[1]branches!$D$2:$D$11,"No apecified")</f>
        <v>South-West</v>
      </c>
    </row>
    <row r="473" spans="1:15" x14ac:dyDescent="0.3">
      <c r="A473" s="13" t="s">
        <v>724</v>
      </c>
      <c r="B473" s="13" t="s">
        <v>659</v>
      </c>
      <c r="C473" s="13" t="s">
        <v>50</v>
      </c>
      <c r="D473" s="13" t="s">
        <v>134</v>
      </c>
      <c r="E473" s="13" t="s">
        <v>81</v>
      </c>
      <c r="F473" s="6">
        <v>1500000</v>
      </c>
      <c r="G473" s="19">
        <v>0.18</v>
      </c>
      <c r="H473" s="15">
        <v>6</v>
      </c>
      <c r="I473" s="4">
        <v>45368</v>
      </c>
      <c r="J473" s="13" t="s">
        <v>19</v>
      </c>
      <c r="K473" s="12" t="s">
        <v>800</v>
      </c>
      <c r="L473" s="12" t="s">
        <v>819</v>
      </c>
      <c r="M473" s="7">
        <v>75000000</v>
      </c>
      <c r="N473" s="12" t="str">
        <f t="shared" si="7"/>
        <v>AT RISK</v>
      </c>
      <c r="O473" t="str">
        <f>_xlfn.XLOOKUP(C473,[1]branches!$A$2:$A$11,[1]branches!$D$2:$D$11,"No apecified")</f>
        <v>South-West</v>
      </c>
    </row>
    <row r="474" spans="1:15" x14ac:dyDescent="0.3">
      <c r="A474" s="11" t="s">
        <v>725</v>
      </c>
      <c r="B474" s="11" t="s">
        <v>196</v>
      </c>
      <c r="C474" s="11" t="s">
        <v>17</v>
      </c>
      <c r="D474" s="11" t="s">
        <v>18</v>
      </c>
      <c r="E474" s="11" t="s">
        <v>39</v>
      </c>
      <c r="F474" s="5">
        <v>10000000</v>
      </c>
      <c r="G474" s="18">
        <v>0.24</v>
      </c>
      <c r="H474" s="14">
        <v>24</v>
      </c>
      <c r="I474" s="3">
        <v>45626</v>
      </c>
      <c r="J474" s="11" t="s">
        <v>33</v>
      </c>
      <c r="K474" s="12" t="s">
        <v>794</v>
      </c>
      <c r="L474" s="12" t="s">
        <v>804</v>
      </c>
      <c r="M474" s="7">
        <v>75000000</v>
      </c>
      <c r="N474" s="12" t="str">
        <f t="shared" si="7"/>
        <v>NORMAL</v>
      </c>
      <c r="O474" t="str">
        <f>_xlfn.XLOOKUP(C474,[1]branches!$A$2:$A$11,[1]branches!$D$2:$D$11,"No apecified")</f>
        <v>South-South</v>
      </c>
    </row>
    <row r="475" spans="1:15" x14ac:dyDescent="0.3">
      <c r="A475" s="13" t="s">
        <v>726</v>
      </c>
      <c r="B475" s="13" t="s">
        <v>89</v>
      </c>
      <c r="C475" s="13" t="s">
        <v>36</v>
      </c>
      <c r="D475" s="13" t="s">
        <v>37</v>
      </c>
      <c r="E475" s="13" t="s">
        <v>39</v>
      </c>
      <c r="F475" s="6">
        <v>3000000</v>
      </c>
      <c r="G475" s="19">
        <v>0.18</v>
      </c>
      <c r="H475" s="15">
        <v>18</v>
      </c>
      <c r="I475" s="4">
        <v>45494</v>
      </c>
      <c r="J475" s="13" t="s">
        <v>14</v>
      </c>
      <c r="K475" s="12" t="s">
        <v>797</v>
      </c>
      <c r="L475" s="12" t="s">
        <v>808</v>
      </c>
      <c r="M475" s="7">
        <v>40000000</v>
      </c>
      <c r="N475" s="12" t="str">
        <f t="shared" si="7"/>
        <v>NORMAL</v>
      </c>
      <c r="O475" t="str">
        <f>_xlfn.XLOOKUP(C475,[1]branches!$A$2:$A$11,[1]branches!$D$2:$D$11,"No apecified")</f>
        <v>South-South</v>
      </c>
    </row>
    <row r="476" spans="1:15" x14ac:dyDescent="0.3">
      <c r="A476" s="11" t="s">
        <v>727</v>
      </c>
      <c r="B476" s="11" t="s">
        <v>233</v>
      </c>
      <c r="C476" s="11" t="s">
        <v>12</v>
      </c>
      <c r="D476" s="11" t="s">
        <v>13</v>
      </c>
      <c r="E476" s="11" t="s">
        <v>760</v>
      </c>
      <c r="F476" s="5">
        <v>2000000</v>
      </c>
      <c r="G476" s="18">
        <v>0.24</v>
      </c>
      <c r="H476" s="14">
        <v>12</v>
      </c>
      <c r="I476" s="3">
        <v>45484</v>
      </c>
      <c r="J476" s="11" t="s">
        <v>33</v>
      </c>
      <c r="K476" s="12" t="s">
        <v>793</v>
      </c>
      <c r="L476" s="12" t="s">
        <v>803</v>
      </c>
      <c r="M476" s="7">
        <v>75000000</v>
      </c>
      <c r="N476" s="12" t="str">
        <f t="shared" si="7"/>
        <v>NORMAL</v>
      </c>
      <c r="O476" t="str">
        <f>_xlfn.XLOOKUP(C476,[1]branches!$A$2:$A$11,[1]branches!$D$2:$D$11,"No apecified")</f>
        <v>North</v>
      </c>
    </row>
    <row r="477" spans="1:15" x14ac:dyDescent="0.3">
      <c r="A477" s="13" t="s">
        <v>728</v>
      </c>
      <c r="B477" s="13" t="s">
        <v>729</v>
      </c>
      <c r="C477" s="13" t="s">
        <v>46</v>
      </c>
      <c r="D477" s="13" t="s">
        <v>47</v>
      </c>
      <c r="E477" s="13" t="s">
        <v>81</v>
      </c>
      <c r="F477" s="6">
        <v>1000000</v>
      </c>
      <c r="G477" s="19">
        <v>0.22</v>
      </c>
      <c r="H477" s="15">
        <v>24</v>
      </c>
      <c r="I477" s="4">
        <v>45546</v>
      </c>
      <c r="J477" s="13" t="s">
        <v>14</v>
      </c>
      <c r="K477" s="12" t="s">
        <v>799</v>
      </c>
      <c r="L477" s="12" t="s">
        <v>810</v>
      </c>
      <c r="M477" s="7">
        <v>30000000</v>
      </c>
      <c r="N477" s="12" t="str">
        <f t="shared" si="7"/>
        <v>NORMAL</v>
      </c>
      <c r="O477" t="str">
        <f>_xlfn.XLOOKUP(C477,[1]branches!$A$2:$A$11,[1]branches!$D$2:$D$11,"No apecified")</f>
        <v>South-West</v>
      </c>
    </row>
    <row r="478" spans="1:15" x14ac:dyDescent="0.3">
      <c r="A478" s="11" t="s">
        <v>730</v>
      </c>
      <c r="B478" s="11" t="s">
        <v>630</v>
      </c>
      <c r="C478" s="11" t="s">
        <v>26</v>
      </c>
      <c r="D478" s="11" t="s">
        <v>27</v>
      </c>
      <c r="E478" s="11" t="s">
        <v>81</v>
      </c>
      <c r="F478" s="5">
        <v>750000</v>
      </c>
      <c r="G478" s="18">
        <v>0.24</v>
      </c>
      <c r="H478" s="14">
        <v>12</v>
      </c>
      <c r="I478" s="3">
        <v>45397</v>
      </c>
      <c r="J478" s="11" t="s">
        <v>14</v>
      </c>
      <c r="K478" s="12" t="s">
        <v>796</v>
      </c>
      <c r="L478" s="12" t="s">
        <v>806</v>
      </c>
      <c r="M478" s="7">
        <v>50000000</v>
      </c>
      <c r="N478" s="12" t="str">
        <f t="shared" si="7"/>
        <v>NORMAL</v>
      </c>
      <c r="O478" t="str">
        <f>_xlfn.XLOOKUP(C478,[1]branches!$A$2:$A$11,[1]branches!$D$2:$D$11,"No apecified")</f>
        <v>North</v>
      </c>
    </row>
    <row r="479" spans="1:15" x14ac:dyDescent="0.3">
      <c r="A479" s="13" t="s">
        <v>731</v>
      </c>
      <c r="B479" s="13" t="s">
        <v>423</v>
      </c>
      <c r="C479" s="13" t="s">
        <v>22</v>
      </c>
      <c r="D479" s="13" t="s">
        <v>23</v>
      </c>
      <c r="E479" s="13" t="s">
        <v>81</v>
      </c>
      <c r="F479" s="6">
        <v>10000000</v>
      </c>
      <c r="G479" s="19">
        <v>0.24</v>
      </c>
      <c r="H479" s="15">
        <v>18</v>
      </c>
      <c r="I479" s="4">
        <v>45507</v>
      </c>
      <c r="J479" s="13" t="s">
        <v>19</v>
      </c>
      <c r="K479" s="12" t="s">
        <v>795</v>
      </c>
      <c r="L479" s="12" t="s">
        <v>805</v>
      </c>
      <c r="M479" s="7">
        <v>30000000</v>
      </c>
      <c r="N479" s="12" t="str">
        <f t="shared" si="7"/>
        <v>HIGH RISK</v>
      </c>
      <c r="O479" t="str">
        <f>_xlfn.XLOOKUP(C479,[1]branches!$A$2:$A$11,[1]branches!$D$2:$D$11,"No apecified")</f>
        <v>North</v>
      </c>
    </row>
    <row r="480" spans="1:15" x14ac:dyDescent="0.3">
      <c r="A480" s="11" t="s">
        <v>732</v>
      </c>
      <c r="B480" s="11" t="s">
        <v>659</v>
      </c>
      <c r="C480" s="11" t="s">
        <v>50</v>
      </c>
      <c r="D480" s="11" t="s">
        <v>134</v>
      </c>
      <c r="E480" s="11" t="s">
        <v>81</v>
      </c>
      <c r="F480" s="5">
        <v>2000000</v>
      </c>
      <c r="G480" s="18">
        <v>0.2</v>
      </c>
      <c r="H480" s="14">
        <v>18</v>
      </c>
      <c r="I480" s="3">
        <v>45425</v>
      </c>
      <c r="J480" s="11" t="s">
        <v>14</v>
      </c>
      <c r="K480" s="12" t="s">
        <v>800</v>
      </c>
      <c r="L480" s="12" t="s">
        <v>819</v>
      </c>
      <c r="M480" s="7">
        <v>75000000</v>
      </c>
      <c r="N480" s="12" t="str">
        <f t="shared" si="7"/>
        <v>NORMAL</v>
      </c>
      <c r="O480" t="str">
        <f>_xlfn.XLOOKUP(C480,[1]branches!$A$2:$A$11,[1]branches!$D$2:$D$11,"No apecified")</f>
        <v>South-West</v>
      </c>
    </row>
    <row r="481" spans="1:15" x14ac:dyDescent="0.3">
      <c r="A481" s="13" t="s">
        <v>733</v>
      </c>
      <c r="B481" s="13" t="s">
        <v>550</v>
      </c>
      <c r="C481" s="13" t="s">
        <v>42</v>
      </c>
      <c r="D481" s="13" t="s">
        <v>282</v>
      </c>
      <c r="E481" s="13" t="s">
        <v>39</v>
      </c>
      <c r="F481" s="6">
        <v>1500000</v>
      </c>
      <c r="G481" s="19">
        <v>0.2</v>
      </c>
      <c r="H481" s="15">
        <v>12</v>
      </c>
      <c r="I481" s="4">
        <v>45568</v>
      </c>
      <c r="J481" s="13" t="s">
        <v>14</v>
      </c>
      <c r="K481" s="12" t="s">
        <v>798</v>
      </c>
      <c r="L481" s="12" t="s">
        <v>822</v>
      </c>
      <c r="M481" s="7">
        <v>50000000</v>
      </c>
      <c r="N481" s="12" t="str">
        <f t="shared" si="7"/>
        <v>NORMAL</v>
      </c>
      <c r="O481" t="str">
        <f>_xlfn.XLOOKUP(C481,[1]branches!$A$2:$A$11,[1]branches!$D$2:$D$11,"No apecified")</f>
        <v>North</v>
      </c>
    </row>
    <row r="482" spans="1:15" x14ac:dyDescent="0.3">
      <c r="A482" s="11" t="s">
        <v>734</v>
      </c>
      <c r="B482" s="11" t="s">
        <v>190</v>
      </c>
      <c r="C482" s="11" t="s">
        <v>42</v>
      </c>
      <c r="D482" s="11" t="s">
        <v>43</v>
      </c>
      <c r="E482" s="11" t="s">
        <v>39</v>
      </c>
      <c r="F482" s="5">
        <v>3000000</v>
      </c>
      <c r="G482" s="18">
        <v>0.18</v>
      </c>
      <c r="H482" s="14">
        <v>6</v>
      </c>
      <c r="I482" s="3">
        <v>45654</v>
      </c>
      <c r="J482" s="11" t="s">
        <v>14</v>
      </c>
      <c r="K482" s="12" t="s">
        <v>798</v>
      </c>
      <c r="L482" s="12" t="s">
        <v>809</v>
      </c>
      <c r="M482" s="7">
        <v>40000000</v>
      </c>
      <c r="N482" s="12" t="str">
        <f t="shared" si="7"/>
        <v>NORMAL</v>
      </c>
      <c r="O482" t="str">
        <f>_xlfn.XLOOKUP(C482,[1]branches!$A$2:$A$11,[1]branches!$D$2:$D$11,"No apecified")</f>
        <v>North</v>
      </c>
    </row>
    <row r="483" spans="1:15" x14ac:dyDescent="0.3">
      <c r="A483" s="11" t="s">
        <v>735</v>
      </c>
      <c r="B483" s="11" t="s">
        <v>515</v>
      </c>
      <c r="C483" s="11" t="s">
        <v>42</v>
      </c>
      <c r="D483" s="11" t="s">
        <v>282</v>
      </c>
      <c r="E483" s="11" t="s">
        <v>81</v>
      </c>
      <c r="F483" s="5">
        <v>1500000</v>
      </c>
      <c r="G483" s="18">
        <v>0.2</v>
      </c>
      <c r="H483" s="14">
        <v>12</v>
      </c>
      <c r="I483" s="3">
        <v>45457</v>
      </c>
      <c r="J483" s="11" t="s">
        <v>33</v>
      </c>
      <c r="K483" s="12" t="s">
        <v>798</v>
      </c>
      <c r="L483" s="12" t="s">
        <v>822</v>
      </c>
      <c r="M483" s="7">
        <v>50000000</v>
      </c>
      <c r="N483" s="12" t="str">
        <f t="shared" si="7"/>
        <v>NORMAL</v>
      </c>
      <c r="O483" t="str">
        <f>_xlfn.XLOOKUP(C483,[1]branches!$A$2:$A$11,[1]branches!$D$2:$D$11,"No apecified")</f>
        <v>North</v>
      </c>
    </row>
    <row r="484" spans="1:15" x14ac:dyDescent="0.3">
      <c r="A484" s="13" t="s">
        <v>736</v>
      </c>
      <c r="B484" s="13" t="s">
        <v>373</v>
      </c>
      <c r="C484" s="13" t="s">
        <v>22</v>
      </c>
      <c r="D484" s="13" t="s">
        <v>23</v>
      </c>
      <c r="E484" s="13" t="s">
        <v>760</v>
      </c>
      <c r="F484" s="6">
        <v>1500000</v>
      </c>
      <c r="G484" s="19">
        <v>0.22</v>
      </c>
      <c r="H484" s="15">
        <v>24</v>
      </c>
      <c r="I484" s="4">
        <v>45518</v>
      </c>
      <c r="J484" s="13" t="s">
        <v>14</v>
      </c>
      <c r="K484" s="12" t="s">
        <v>795</v>
      </c>
      <c r="L484" s="12" t="s">
        <v>805</v>
      </c>
      <c r="M484" s="7">
        <v>30000000</v>
      </c>
      <c r="N484" s="12" t="str">
        <f t="shared" si="7"/>
        <v>NORMAL</v>
      </c>
      <c r="O484" t="str">
        <f>_xlfn.XLOOKUP(C484,[1]branches!$A$2:$A$11,[1]branches!$D$2:$D$11,"No apecified")</f>
        <v>North</v>
      </c>
    </row>
    <row r="485" spans="1:15" x14ac:dyDescent="0.3">
      <c r="A485" s="11" t="s">
        <v>737</v>
      </c>
      <c r="B485" s="11" t="s">
        <v>173</v>
      </c>
      <c r="C485" s="11" t="s">
        <v>17</v>
      </c>
      <c r="D485" s="11" t="s">
        <v>18</v>
      </c>
      <c r="E485" s="11" t="s">
        <v>760</v>
      </c>
      <c r="F485" s="5">
        <v>2000000</v>
      </c>
      <c r="G485" s="18">
        <v>0.18</v>
      </c>
      <c r="H485" s="14">
        <v>24</v>
      </c>
      <c r="I485" s="3">
        <v>45602</v>
      </c>
      <c r="J485" s="11" t="s">
        <v>19</v>
      </c>
      <c r="K485" s="12" t="s">
        <v>794</v>
      </c>
      <c r="L485" s="12" t="s">
        <v>804</v>
      </c>
      <c r="M485" s="7">
        <v>75000000</v>
      </c>
      <c r="N485" s="12" t="str">
        <f t="shared" si="7"/>
        <v>AT RISK</v>
      </c>
      <c r="O485" t="str">
        <f>_xlfn.XLOOKUP(C485,[1]branches!$A$2:$A$11,[1]branches!$D$2:$D$11,"No apecified")</f>
        <v>South-South</v>
      </c>
    </row>
    <row r="486" spans="1:15" x14ac:dyDescent="0.3">
      <c r="A486" s="13" t="s">
        <v>738</v>
      </c>
      <c r="B486" s="13" t="s">
        <v>308</v>
      </c>
      <c r="C486" s="13" t="s">
        <v>60</v>
      </c>
      <c r="D486" s="13" t="s">
        <v>69</v>
      </c>
      <c r="E486" s="13" t="s">
        <v>760</v>
      </c>
      <c r="F486" s="6">
        <v>7500000</v>
      </c>
      <c r="G486" s="19">
        <v>0.22</v>
      </c>
      <c r="H486" s="15">
        <v>6</v>
      </c>
      <c r="I486" s="4">
        <v>45344</v>
      </c>
      <c r="J486" s="13" t="s">
        <v>33</v>
      </c>
      <c r="K486" s="12" t="s">
        <v>802</v>
      </c>
      <c r="L486" s="12" t="s">
        <v>815</v>
      </c>
      <c r="M486" s="7">
        <v>75000000</v>
      </c>
      <c r="N486" s="12" t="str">
        <f t="shared" si="7"/>
        <v>NORMAL</v>
      </c>
      <c r="O486" t="str">
        <f>_xlfn.XLOOKUP(C486,[1]branches!$A$2:$A$11,[1]branches!$D$2:$D$11,"No apecified")</f>
        <v>North</v>
      </c>
    </row>
    <row r="487" spans="1:15" x14ac:dyDescent="0.3">
      <c r="A487" s="11" t="s">
        <v>739</v>
      </c>
      <c r="B487" s="11" t="s">
        <v>671</v>
      </c>
      <c r="C487" s="11" t="s">
        <v>56</v>
      </c>
      <c r="D487" s="11" t="s">
        <v>57</v>
      </c>
      <c r="E487" s="11" t="s">
        <v>760</v>
      </c>
      <c r="F487" s="5">
        <v>750000</v>
      </c>
      <c r="G487" s="18">
        <v>0.18</v>
      </c>
      <c r="H487" s="14">
        <v>6</v>
      </c>
      <c r="I487" s="3">
        <v>45527</v>
      </c>
      <c r="J487" s="11" t="s">
        <v>33</v>
      </c>
      <c r="K487" s="12" t="s">
        <v>801</v>
      </c>
      <c r="L487" s="12" t="s">
        <v>812</v>
      </c>
      <c r="M487" s="7">
        <v>50000000</v>
      </c>
      <c r="N487" s="12" t="str">
        <f t="shared" si="7"/>
        <v>NORMAL</v>
      </c>
      <c r="O487" t="str">
        <f>_xlfn.XLOOKUP(C487,[1]branches!$A$2:$A$11,[1]branches!$D$2:$D$11,"No apecified")</f>
        <v>South-West</v>
      </c>
    </row>
    <row r="488" spans="1:15" x14ac:dyDescent="0.3">
      <c r="A488" s="13" t="s">
        <v>740</v>
      </c>
      <c r="B488" s="13" t="s">
        <v>322</v>
      </c>
      <c r="C488" s="13" t="s">
        <v>46</v>
      </c>
      <c r="D488" s="13" t="s">
        <v>96</v>
      </c>
      <c r="E488" s="13" t="s">
        <v>81</v>
      </c>
      <c r="F488" s="6">
        <v>500000</v>
      </c>
      <c r="G488" s="19">
        <v>0.2</v>
      </c>
      <c r="H488" s="15">
        <v>36</v>
      </c>
      <c r="I488" s="4">
        <v>45393</v>
      </c>
      <c r="J488" s="13" t="s">
        <v>14</v>
      </c>
      <c r="K488" s="12" t="s">
        <v>799</v>
      </c>
      <c r="L488" s="12" t="s">
        <v>817</v>
      </c>
      <c r="M488" s="7">
        <v>40000000</v>
      </c>
      <c r="N488" s="12" t="str">
        <f t="shared" si="7"/>
        <v>NORMAL</v>
      </c>
      <c r="O488" t="str">
        <f>_xlfn.XLOOKUP(C488,[1]branches!$A$2:$A$11,[1]branches!$D$2:$D$11,"No apecified")</f>
        <v>South-West</v>
      </c>
    </row>
    <row r="489" spans="1:15" x14ac:dyDescent="0.3">
      <c r="A489" s="11" t="s">
        <v>741</v>
      </c>
      <c r="B489" s="11" t="s">
        <v>112</v>
      </c>
      <c r="C489" s="11" t="s">
        <v>26</v>
      </c>
      <c r="D489" s="11" t="s">
        <v>27</v>
      </c>
      <c r="E489" s="11" t="s">
        <v>760</v>
      </c>
      <c r="F489" s="5">
        <v>1000000</v>
      </c>
      <c r="G489" s="18">
        <v>0.16</v>
      </c>
      <c r="H489" s="14">
        <v>6</v>
      </c>
      <c r="I489" s="3">
        <v>45326</v>
      </c>
      <c r="J489" s="11" t="s">
        <v>33</v>
      </c>
      <c r="K489" s="12" t="s">
        <v>796</v>
      </c>
      <c r="L489" s="12" t="s">
        <v>806</v>
      </c>
      <c r="M489" s="7">
        <v>50000000</v>
      </c>
      <c r="N489" s="12" t="str">
        <f t="shared" si="7"/>
        <v>NORMAL</v>
      </c>
      <c r="O489" t="str">
        <f>_xlfn.XLOOKUP(C489,[1]branches!$A$2:$A$11,[1]branches!$D$2:$D$11,"No apecified")</f>
        <v>North</v>
      </c>
    </row>
    <row r="490" spans="1:15" x14ac:dyDescent="0.3">
      <c r="A490" s="13" t="s">
        <v>742</v>
      </c>
      <c r="B490" s="13" t="s">
        <v>104</v>
      </c>
      <c r="C490" s="13" t="s">
        <v>60</v>
      </c>
      <c r="D490" s="13" t="s">
        <v>61</v>
      </c>
      <c r="E490" s="13" t="s">
        <v>81</v>
      </c>
      <c r="F490" s="6">
        <v>1000000</v>
      </c>
      <c r="G490" s="19">
        <v>0.16</v>
      </c>
      <c r="H490" s="15">
        <v>6</v>
      </c>
      <c r="I490" s="4">
        <v>45523</v>
      </c>
      <c r="J490" s="13" t="s">
        <v>14</v>
      </c>
      <c r="K490" s="12" t="s">
        <v>802</v>
      </c>
      <c r="L490" s="12" t="s">
        <v>813</v>
      </c>
      <c r="M490" s="7">
        <v>75000000</v>
      </c>
      <c r="N490" s="12" t="str">
        <f t="shared" si="7"/>
        <v>NORMAL</v>
      </c>
      <c r="O490" t="str">
        <f>_xlfn.XLOOKUP(C490,[1]branches!$A$2:$A$11,[1]branches!$D$2:$D$11,"No apecified")</f>
        <v>North</v>
      </c>
    </row>
    <row r="491" spans="1:15" x14ac:dyDescent="0.3">
      <c r="A491" s="11" t="s">
        <v>743</v>
      </c>
      <c r="B491" s="11" t="s">
        <v>423</v>
      </c>
      <c r="C491" s="11" t="s">
        <v>22</v>
      </c>
      <c r="D491" s="11" t="s">
        <v>23</v>
      </c>
      <c r="E491" s="11" t="s">
        <v>81</v>
      </c>
      <c r="F491" s="5">
        <v>1000000</v>
      </c>
      <c r="G491" s="18">
        <v>0.16</v>
      </c>
      <c r="H491" s="14">
        <v>12</v>
      </c>
      <c r="I491" s="3">
        <v>45421</v>
      </c>
      <c r="J491" s="11" t="s">
        <v>19</v>
      </c>
      <c r="K491" s="12" t="s">
        <v>795</v>
      </c>
      <c r="L491" s="12" t="s">
        <v>805</v>
      </c>
      <c r="M491" s="7">
        <v>30000000</v>
      </c>
      <c r="N491" s="12" t="str">
        <f t="shared" si="7"/>
        <v>AT RISK</v>
      </c>
      <c r="O491" t="str">
        <f>_xlfn.XLOOKUP(C491,[1]branches!$A$2:$A$11,[1]branches!$D$2:$D$11,"No apecified")</f>
        <v>North</v>
      </c>
    </row>
    <row r="492" spans="1:15" x14ac:dyDescent="0.3">
      <c r="A492" s="13" t="s">
        <v>744</v>
      </c>
      <c r="B492" s="13" t="s">
        <v>745</v>
      </c>
      <c r="C492" s="13" t="s">
        <v>60</v>
      </c>
      <c r="D492" s="13" t="s">
        <v>69</v>
      </c>
      <c r="E492" s="13" t="s">
        <v>39</v>
      </c>
      <c r="F492" s="6">
        <v>1000000</v>
      </c>
      <c r="G492" s="19">
        <v>0.16</v>
      </c>
      <c r="H492" s="15">
        <v>18</v>
      </c>
      <c r="I492" s="4">
        <v>45364</v>
      </c>
      <c r="J492" s="13" t="s">
        <v>33</v>
      </c>
      <c r="K492" s="12" t="s">
        <v>802</v>
      </c>
      <c r="L492" s="12" t="s">
        <v>815</v>
      </c>
      <c r="M492" s="7">
        <v>75000000</v>
      </c>
      <c r="N492" s="12" t="str">
        <f t="shared" si="7"/>
        <v>NORMAL</v>
      </c>
      <c r="O492" t="str">
        <f>_xlfn.XLOOKUP(C492,[1]branches!$A$2:$A$11,[1]branches!$D$2:$D$11,"No apecified")</f>
        <v>North</v>
      </c>
    </row>
    <row r="493" spans="1:15" x14ac:dyDescent="0.3">
      <c r="A493" s="11" t="s">
        <v>746</v>
      </c>
      <c r="B493" s="11" t="s">
        <v>322</v>
      </c>
      <c r="C493" s="11" t="s">
        <v>46</v>
      </c>
      <c r="D493" s="11" t="s">
        <v>96</v>
      </c>
      <c r="E493" s="11" t="s">
        <v>39</v>
      </c>
      <c r="F493" s="5">
        <v>5000000</v>
      </c>
      <c r="G493" s="18">
        <v>0.18</v>
      </c>
      <c r="H493" s="14">
        <v>18</v>
      </c>
      <c r="I493" s="3">
        <v>45443</v>
      </c>
      <c r="J493" s="11" t="s">
        <v>19</v>
      </c>
      <c r="K493" s="12" t="s">
        <v>799</v>
      </c>
      <c r="L493" s="12" t="s">
        <v>817</v>
      </c>
      <c r="M493" s="7">
        <v>40000000</v>
      </c>
      <c r="N493" s="12" t="str">
        <f t="shared" si="7"/>
        <v>HIGH RISK</v>
      </c>
      <c r="O493" t="str">
        <f>_xlfn.XLOOKUP(C493,[1]branches!$A$2:$A$11,[1]branches!$D$2:$D$11,"No apecified")</f>
        <v>South-West</v>
      </c>
    </row>
    <row r="494" spans="1:15" x14ac:dyDescent="0.3">
      <c r="A494" s="13" t="s">
        <v>747</v>
      </c>
      <c r="B494" s="13" t="s">
        <v>222</v>
      </c>
      <c r="C494" s="13" t="s">
        <v>22</v>
      </c>
      <c r="D494" s="13" t="s">
        <v>30</v>
      </c>
      <c r="E494" s="13" t="s">
        <v>39</v>
      </c>
      <c r="F494" s="6">
        <v>1000000</v>
      </c>
      <c r="G494" s="19">
        <v>0.2</v>
      </c>
      <c r="H494" s="15">
        <v>36</v>
      </c>
      <c r="I494" s="4">
        <v>45543</v>
      </c>
      <c r="J494" s="13" t="s">
        <v>14</v>
      </c>
      <c r="K494" s="12" t="s">
        <v>795</v>
      </c>
      <c r="L494" s="12" t="s">
        <v>807</v>
      </c>
      <c r="M494" s="7">
        <v>30000000</v>
      </c>
      <c r="N494" s="12" t="str">
        <f t="shared" si="7"/>
        <v>NORMAL</v>
      </c>
      <c r="O494" t="str">
        <f>_xlfn.XLOOKUP(C494,[1]branches!$A$2:$A$11,[1]branches!$D$2:$D$11,"No apecified")</f>
        <v>North</v>
      </c>
    </row>
    <row r="495" spans="1:15" x14ac:dyDescent="0.3">
      <c r="A495" s="13" t="s">
        <v>748</v>
      </c>
      <c r="B495" s="13" t="s">
        <v>363</v>
      </c>
      <c r="C495" s="13" t="s">
        <v>36</v>
      </c>
      <c r="D495" s="13" t="s">
        <v>37</v>
      </c>
      <c r="E495" s="13" t="s">
        <v>39</v>
      </c>
      <c r="F495" s="6">
        <v>2000000</v>
      </c>
      <c r="G495" s="19">
        <v>0.18</v>
      </c>
      <c r="H495" s="15">
        <v>6</v>
      </c>
      <c r="I495" s="4">
        <v>45606</v>
      </c>
      <c r="J495" s="13" t="s">
        <v>33</v>
      </c>
      <c r="K495" s="12" t="s">
        <v>797</v>
      </c>
      <c r="L495" s="12" t="s">
        <v>808</v>
      </c>
      <c r="M495" s="7">
        <v>40000000</v>
      </c>
      <c r="N495" s="12" t="str">
        <f t="shared" si="7"/>
        <v>NORMAL</v>
      </c>
      <c r="O495" t="str">
        <f>_xlfn.XLOOKUP(C495,[1]branches!$A$2:$A$11,[1]branches!$D$2:$D$11,"No apecified")</f>
        <v>South-South</v>
      </c>
    </row>
    <row r="496" spans="1:15" x14ac:dyDescent="0.3">
      <c r="A496" s="11" t="s">
        <v>749</v>
      </c>
      <c r="B496" s="11" t="s">
        <v>231</v>
      </c>
      <c r="C496" s="11" t="s">
        <v>17</v>
      </c>
      <c r="D496" s="11" t="s">
        <v>18</v>
      </c>
      <c r="E496" s="11" t="s">
        <v>81</v>
      </c>
      <c r="F496" s="5">
        <v>2000000</v>
      </c>
      <c r="G496" s="18">
        <v>0.16</v>
      </c>
      <c r="H496" s="14">
        <v>6</v>
      </c>
      <c r="I496" s="3">
        <v>45320</v>
      </c>
      <c r="J496" s="11" t="s">
        <v>33</v>
      </c>
      <c r="K496" s="12" t="s">
        <v>794</v>
      </c>
      <c r="L496" s="12" t="s">
        <v>804</v>
      </c>
      <c r="M496" s="7">
        <v>75000000</v>
      </c>
      <c r="N496" s="12" t="str">
        <f t="shared" si="7"/>
        <v>NORMAL</v>
      </c>
      <c r="O496" t="str">
        <f>_xlfn.XLOOKUP(C496,[1]branches!$A$2:$A$11,[1]branches!$D$2:$D$11,"No apecified")</f>
        <v>South-South</v>
      </c>
    </row>
    <row r="497" spans="1:15" x14ac:dyDescent="0.3">
      <c r="A497" s="13" t="s">
        <v>750</v>
      </c>
      <c r="B497" s="13" t="s">
        <v>751</v>
      </c>
      <c r="C497" s="13" t="s">
        <v>46</v>
      </c>
      <c r="D497" s="13" t="s">
        <v>47</v>
      </c>
      <c r="E497" s="13" t="s">
        <v>39</v>
      </c>
      <c r="F497" s="6">
        <v>1000000</v>
      </c>
      <c r="G497" s="19">
        <v>0.18</v>
      </c>
      <c r="H497" s="15">
        <v>36</v>
      </c>
      <c r="I497" s="4">
        <v>45488</v>
      </c>
      <c r="J497" s="13" t="s">
        <v>33</v>
      </c>
      <c r="K497" s="12" t="s">
        <v>799</v>
      </c>
      <c r="L497" s="12" t="s">
        <v>810</v>
      </c>
      <c r="M497" s="7">
        <v>30000000</v>
      </c>
      <c r="N497" s="12" t="str">
        <f t="shared" si="7"/>
        <v>NORMAL</v>
      </c>
      <c r="O497" t="str">
        <f>_xlfn.XLOOKUP(C497,[1]branches!$A$2:$A$11,[1]branches!$D$2:$D$11,"No apecified")</f>
        <v>South-West</v>
      </c>
    </row>
    <row r="498" spans="1:15" x14ac:dyDescent="0.3">
      <c r="A498" s="11" t="s">
        <v>752</v>
      </c>
      <c r="B498" s="11" t="s">
        <v>294</v>
      </c>
      <c r="C498" s="11" t="s">
        <v>56</v>
      </c>
      <c r="D498" s="11" t="s">
        <v>74</v>
      </c>
      <c r="E498" s="11" t="s">
        <v>81</v>
      </c>
      <c r="F498" s="5">
        <v>750000</v>
      </c>
      <c r="G498" s="18">
        <v>0.16</v>
      </c>
      <c r="H498" s="14">
        <v>18</v>
      </c>
      <c r="I498" s="3">
        <v>45596</v>
      </c>
      <c r="J498" s="11" t="s">
        <v>19</v>
      </c>
      <c r="K498" s="12" t="s">
        <v>801</v>
      </c>
      <c r="L498" s="12" t="s">
        <v>816</v>
      </c>
      <c r="M498" s="7">
        <v>30000000</v>
      </c>
      <c r="N498" s="12" t="str">
        <f t="shared" si="7"/>
        <v>AT RISK</v>
      </c>
      <c r="O498" t="str">
        <f>_xlfn.XLOOKUP(C498,[1]branches!$A$2:$A$11,[1]branches!$D$2:$D$11,"No apecified")</f>
        <v>South-West</v>
      </c>
    </row>
    <row r="499" spans="1:15" x14ac:dyDescent="0.3">
      <c r="A499" s="13" t="s">
        <v>753</v>
      </c>
      <c r="B499" s="13" t="s">
        <v>673</v>
      </c>
      <c r="C499" s="13" t="s">
        <v>50</v>
      </c>
      <c r="D499" s="13" t="s">
        <v>51</v>
      </c>
      <c r="E499" s="13" t="s">
        <v>81</v>
      </c>
      <c r="F499" s="6">
        <v>5000000</v>
      </c>
      <c r="G499" s="19">
        <v>0.22</v>
      </c>
      <c r="H499" s="15">
        <v>36</v>
      </c>
      <c r="I499" s="4">
        <v>45412</v>
      </c>
      <c r="J499" s="13" t="s">
        <v>33</v>
      </c>
      <c r="K499" s="12" t="s">
        <v>800</v>
      </c>
      <c r="L499" s="12" t="s">
        <v>811</v>
      </c>
      <c r="M499" s="7">
        <v>75000000</v>
      </c>
      <c r="N499" s="12" t="str">
        <f t="shared" si="7"/>
        <v>NORMAL</v>
      </c>
      <c r="O499" t="str">
        <f>_xlfn.XLOOKUP(C499,[1]branches!$A$2:$A$11,[1]branches!$D$2:$D$11,"No apecified")</f>
        <v>South-West</v>
      </c>
    </row>
    <row r="500" spans="1:15" x14ac:dyDescent="0.3">
      <c r="A500" s="13" t="s">
        <v>754</v>
      </c>
      <c r="B500" s="13" t="s">
        <v>153</v>
      </c>
      <c r="C500" s="13" t="s">
        <v>56</v>
      </c>
      <c r="D500" s="13" t="s">
        <v>57</v>
      </c>
      <c r="E500" s="13" t="s">
        <v>81</v>
      </c>
      <c r="F500" s="6">
        <v>5000000</v>
      </c>
      <c r="G500" s="19">
        <v>0.24</v>
      </c>
      <c r="H500" s="15">
        <v>18</v>
      </c>
      <c r="I500" s="4">
        <v>45367</v>
      </c>
      <c r="J500" s="13" t="s">
        <v>33</v>
      </c>
      <c r="K500" s="12" t="s">
        <v>801</v>
      </c>
      <c r="L500" s="12" t="s">
        <v>812</v>
      </c>
      <c r="M500" s="7">
        <v>50000000</v>
      </c>
      <c r="N500" s="12" t="str">
        <f t="shared" si="7"/>
        <v>NORMAL</v>
      </c>
      <c r="O500" t="str">
        <f>_xlfn.XLOOKUP(C500,[1]branches!$A$2:$A$11,[1]branches!$D$2:$D$11,"No apecified")</f>
        <v>South-West</v>
      </c>
    </row>
    <row r="501" spans="1:15" x14ac:dyDescent="0.3">
      <c r="A501" s="11" t="s">
        <v>755</v>
      </c>
      <c r="B501" s="11" t="s">
        <v>100</v>
      </c>
      <c r="C501" s="11" t="s">
        <v>56</v>
      </c>
      <c r="D501" s="11" t="s">
        <v>57</v>
      </c>
      <c r="E501" s="11" t="s">
        <v>81</v>
      </c>
      <c r="F501" s="5">
        <v>500000</v>
      </c>
      <c r="G501" s="18">
        <v>0.18</v>
      </c>
      <c r="H501" s="14">
        <v>36</v>
      </c>
      <c r="I501" s="3">
        <v>45321</v>
      </c>
      <c r="J501" s="11" t="s">
        <v>14</v>
      </c>
      <c r="K501" s="12" t="s">
        <v>801</v>
      </c>
      <c r="L501" s="12" t="s">
        <v>812</v>
      </c>
      <c r="M501" s="7">
        <v>50000000</v>
      </c>
      <c r="N501" s="12" t="str">
        <f t="shared" si="7"/>
        <v>NORMAL</v>
      </c>
      <c r="O501" t="str">
        <f>_xlfn.XLOOKUP(C501,[1]branches!$A$2:$A$11,[1]branches!$D$2:$D$11,"No apecified")</f>
        <v>South-West</v>
      </c>
    </row>
  </sheetData>
  <conditionalFormatting sqref="N2:N501">
    <cfRule type="cellIs" dxfId="2" priority="1" operator="equal">
      <formula>"NORMAL"</formula>
    </cfRule>
    <cfRule type="cellIs" dxfId="1" priority="2" operator="equal">
      <formula>"AT RISK"</formula>
    </cfRule>
    <cfRule type="cellIs" dxfId="0" priority="3" operator="equal">
      <formula>"HIGH RISK"</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93B9F-95E3-4B84-BE67-588941560C8D}">
  <dimension ref="A1:D24"/>
  <sheetViews>
    <sheetView zoomScale="175" zoomScaleNormal="175" workbookViewId="0">
      <selection activeCell="C33" sqref="C33"/>
    </sheetView>
  </sheetViews>
  <sheetFormatPr defaultRowHeight="14.4" x14ac:dyDescent="0.3"/>
  <cols>
    <col min="1" max="1" width="10.33203125" bestFit="1" customWidth="1"/>
    <col min="2" max="2" width="59.88671875" bestFit="1" customWidth="1"/>
    <col min="3" max="3" width="46.44140625" bestFit="1" customWidth="1"/>
    <col min="4" max="4" width="105" bestFit="1" customWidth="1"/>
  </cols>
  <sheetData>
    <row r="1" spans="1:4" s="2" customFormat="1" ht="15" customHeight="1" x14ac:dyDescent="0.45">
      <c r="A1" s="1" t="s">
        <v>759</v>
      </c>
      <c r="B1" s="1" t="s">
        <v>756</v>
      </c>
      <c r="C1" s="1" t="s">
        <v>757</v>
      </c>
      <c r="D1" s="1" t="s">
        <v>758</v>
      </c>
    </row>
    <row r="2" spans="1:4" x14ac:dyDescent="0.3">
      <c r="A2" t="s">
        <v>761</v>
      </c>
      <c r="B2" t="s">
        <v>762</v>
      </c>
      <c r="C2" t="s">
        <v>766</v>
      </c>
      <c r="D2" t="s">
        <v>776</v>
      </c>
    </row>
    <row r="3" spans="1:4" x14ac:dyDescent="0.3">
      <c r="A3" t="s">
        <v>761</v>
      </c>
      <c r="B3" t="s">
        <v>764</v>
      </c>
      <c r="C3" t="s">
        <v>770</v>
      </c>
      <c r="D3" t="s">
        <v>785</v>
      </c>
    </row>
    <row r="4" spans="1:4" x14ac:dyDescent="0.3">
      <c r="A4" t="s">
        <v>761</v>
      </c>
      <c r="B4" t="s">
        <v>846</v>
      </c>
      <c r="C4" t="s">
        <v>841</v>
      </c>
      <c r="D4" t="s">
        <v>843</v>
      </c>
    </row>
    <row r="5" spans="1:4" x14ac:dyDescent="0.3">
      <c r="A5" t="s">
        <v>765</v>
      </c>
      <c r="B5" t="s">
        <v>762</v>
      </c>
      <c r="C5" t="s">
        <v>766</v>
      </c>
      <c r="D5" t="s">
        <v>776</v>
      </c>
    </row>
    <row r="6" spans="1:4" x14ac:dyDescent="0.3">
      <c r="A6" t="s">
        <v>765</v>
      </c>
      <c r="B6" t="s">
        <v>767</v>
      </c>
      <c r="C6" t="s">
        <v>831</v>
      </c>
      <c r="D6" t="s">
        <v>768</v>
      </c>
    </row>
    <row r="7" spans="1:4" x14ac:dyDescent="0.3">
      <c r="A7" t="s">
        <v>765</v>
      </c>
      <c r="B7" t="s">
        <v>769</v>
      </c>
      <c r="C7" t="s">
        <v>770</v>
      </c>
      <c r="D7" t="s">
        <v>840</v>
      </c>
    </row>
    <row r="8" spans="1:4" x14ac:dyDescent="0.3">
      <c r="A8" t="s">
        <v>765</v>
      </c>
      <c r="B8" t="s">
        <v>771</v>
      </c>
      <c r="C8" t="s">
        <v>772</v>
      </c>
      <c r="D8" t="s">
        <v>773</v>
      </c>
    </row>
    <row r="9" spans="1:4" x14ac:dyDescent="0.3">
      <c r="A9" t="s">
        <v>765</v>
      </c>
      <c r="B9" t="s">
        <v>845</v>
      </c>
      <c r="C9" t="s">
        <v>841</v>
      </c>
      <c r="D9" t="s">
        <v>843</v>
      </c>
    </row>
    <row r="10" spans="1:4" x14ac:dyDescent="0.3">
      <c r="A10" t="s">
        <v>774</v>
      </c>
      <c r="B10" t="s">
        <v>762</v>
      </c>
      <c r="C10" t="s">
        <v>766</v>
      </c>
      <c r="D10" t="s">
        <v>763</v>
      </c>
    </row>
    <row r="11" spans="1:4" x14ac:dyDescent="0.3">
      <c r="A11" t="s">
        <v>774</v>
      </c>
      <c r="B11" t="s">
        <v>775</v>
      </c>
      <c r="C11" t="s">
        <v>770</v>
      </c>
      <c r="D11" t="s">
        <v>840</v>
      </c>
    </row>
    <row r="12" spans="1:4" x14ac:dyDescent="0.3">
      <c r="A12" t="s">
        <v>774</v>
      </c>
      <c r="B12" t="s">
        <v>777</v>
      </c>
      <c r="C12" t="s">
        <v>778</v>
      </c>
      <c r="D12" t="s">
        <v>779</v>
      </c>
    </row>
    <row r="13" spans="1:4" x14ac:dyDescent="0.3">
      <c r="A13" t="s">
        <v>774</v>
      </c>
      <c r="B13" t="s">
        <v>833</v>
      </c>
      <c r="C13" t="s">
        <v>841</v>
      </c>
      <c r="D13" t="s">
        <v>843</v>
      </c>
    </row>
    <row r="14" spans="1:4" x14ac:dyDescent="0.3">
      <c r="A14" t="s">
        <v>780</v>
      </c>
      <c r="B14" t="s">
        <v>781</v>
      </c>
      <c r="C14" t="s">
        <v>782</v>
      </c>
      <c r="D14" t="s">
        <v>783</v>
      </c>
    </row>
    <row r="15" spans="1:4" x14ac:dyDescent="0.3">
      <c r="A15" t="s">
        <v>780</v>
      </c>
      <c r="B15" t="s">
        <v>784</v>
      </c>
      <c r="C15" t="s">
        <v>770</v>
      </c>
      <c r="D15" t="s">
        <v>840</v>
      </c>
    </row>
    <row r="16" spans="1:4" x14ac:dyDescent="0.3">
      <c r="A16" t="s">
        <v>780</v>
      </c>
      <c r="B16" t="s">
        <v>786</v>
      </c>
      <c r="C16" t="s">
        <v>778</v>
      </c>
      <c r="D16" t="s">
        <v>787</v>
      </c>
    </row>
    <row r="17" spans="1:4" x14ac:dyDescent="0.3">
      <c r="A17" t="s">
        <v>780</v>
      </c>
      <c r="B17" t="s">
        <v>832</v>
      </c>
      <c r="C17" t="s">
        <v>841</v>
      </c>
      <c r="D17" t="s">
        <v>844</v>
      </c>
    </row>
    <row r="18" spans="1:4" x14ac:dyDescent="0.3">
      <c r="A18" t="s">
        <v>788</v>
      </c>
      <c r="B18" t="s">
        <v>781</v>
      </c>
      <c r="C18" t="s">
        <v>830</v>
      </c>
      <c r="D18" t="s">
        <v>834</v>
      </c>
    </row>
    <row r="19" spans="1:4" x14ac:dyDescent="0.3">
      <c r="A19" t="s">
        <v>788</v>
      </c>
      <c r="B19" t="s">
        <v>828</v>
      </c>
      <c r="C19" t="s">
        <v>829</v>
      </c>
      <c r="D19" t="s">
        <v>838</v>
      </c>
    </row>
    <row r="20" spans="1:4" x14ac:dyDescent="0.3">
      <c r="A20" t="s">
        <v>788</v>
      </c>
      <c r="B20" t="s">
        <v>837</v>
      </c>
      <c r="C20" t="s">
        <v>835</v>
      </c>
      <c r="D20" t="s">
        <v>836</v>
      </c>
    </row>
    <row r="21" spans="1:4" x14ac:dyDescent="0.3">
      <c r="A21" t="s">
        <v>788</v>
      </c>
      <c r="B21" t="s">
        <v>762</v>
      </c>
      <c r="C21" t="s">
        <v>766</v>
      </c>
      <c r="D21" t="s">
        <v>776</v>
      </c>
    </row>
    <row r="22" spans="1:4" x14ac:dyDescent="0.3">
      <c r="A22" t="s">
        <v>788</v>
      </c>
      <c r="B22" t="s">
        <v>839</v>
      </c>
      <c r="C22" t="s">
        <v>831</v>
      </c>
      <c r="D22" t="s">
        <v>768</v>
      </c>
    </row>
    <row r="23" spans="1:4" x14ac:dyDescent="0.3">
      <c r="A23" t="s">
        <v>788</v>
      </c>
      <c r="B23" t="s">
        <v>8</v>
      </c>
      <c r="C23" t="s">
        <v>770</v>
      </c>
      <c r="D23" t="s">
        <v>840</v>
      </c>
    </row>
    <row r="24" spans="1:4" x14ac:dyDescent="0.3">
      <c r="A24" t="s">
        <v>788</v>
      </c>
      <c r="B24" t="s">
        <v>842</v>
      </c>
      <c r="C24" t="s">
        <v>841</v>
      </c>
      <c r="D24" t="s">
        <v>843</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8CA7A-8119-46CE-809C-65A32C119D1C}">
  <dimension ref="A1:H28"/>
  <sheetViews>
    <sheetView topLeftCell="F1" zoomScale="105" workbookViewId="0">
      <selection activeCell="D18" sqref="D18"/>
    </sheetView>
  </sheetViews>
  <sheetFormatPr defaultRowHeight="14.4" x14ac:dyDescent="0.3"/>
  <cols>
    <col min="1" max="1" width="16.109375" bestFit="1" customWidth="1"/>
    <col min="2" max="2" width="19" bestFit="1" customWidth="1"/>
    <col min="3" max="3" width="9.21875" bestFit="1" customWidth="1"/>
    <col min="4" max="4" width="9" bestFit="1" customWidth="1"/>
    <col min="5" max="5" width="10.77734375" bestFit="1" customWidth="1"/>
    <col min="7" max="7" width="12.5546875" bestFit="1" customWidth="1"/>
    <col min="8" max="8" width="15.109375" bestFit="1" customWidth="1"/>
  </cols>
  <sheetData>
    <row r="1" spans="1:8" ht="15.6" x14ac:dyDescent="0.3">
      <c r="A1" s="27" t="s">
        <v>823</v>
      </c>
      <c r="B1" s="28" t="s">
        <v>825</v>
      </c>
      <c r="G1" s="27" t="s">
        <v>823</v>
      </c>
      <c r="H1" s="28" t="s">
        <v>826</v>
      </c>
    </row>
    <row r="2" spans="1:8" ht="15.6" x14ac:dyDescent="0.3">
      <c r="A2" s="29" t="s">
        <v>802</v>
      </c>
      <c r="B2" s="30">
        <v>298250000</v>
      </c>
      <c r="G2" s="29" t="s">
        <v>81</v>
      </c>
      <c r="H2" s="28">
        <v>157</v>
      </c>
    </row>
    <row r="3" spans="1:8" ht="15.6" x14ac:dyDescent="0.3">
      <c r="A3" s="29" t="s">
        <v>797</v>
      </c>
      <c r="B3" s="30">
        <v>227250000</v>
      </c>
      <c r="G3" s="29" t="s">
        <v>39</v>
      </c>
      <c r="H3" s="28">
        <v>161</v>
      </c>
    </row>
    <row r="4" spans="1:8" ht="15.6" x14ac:dyDescent="0.3">
      <c r="A4" s="29" t="s">
        <v>799</v>
      </c>
      <c r="B4" s="30">
        <v>198500000</v>
      </c>
      <c r="G4" s="29" t="s">
        <v>760</v>
      </c>
      <c r="H4" s="28">
        <v>182</v>
      </c>
    </row>
    <row r="5" spans="1:8" ht="15.6" x14ac:dyDescent="0.3">
      <c r="A5" s="29" t="s">
        <v>798</v>
      </c>
      <c r="B5" s="30">
        <v>192000000</v>
      </c>
      <c r="G5" s="29" t="s">
        <v>824</v>
      </c>
      <c r="H5" s="28">
        <v>500</v>
      </c>
    </row>
    <row r="6" spans="1:8" ht="15.6" x14ac:dyDescent="0.3">
      <c r="A6" s="29" t="s">
        <v>796</v>
      </c>
      <c r="B6" s="30">
        <v>163250000</v>
      </c>
    </row>
    <row r="7" spans="1:8" ht="15.6" x14ac:dyDescent="0.3">
      <c r="A7" s="29" t="s">
        <v>800</v>
      </c>
      <c r="B7" s="30">
        <v>152000000</v>
      </c>
    </row>
    <row r="8" spans="1:8" ht="15.6" x14ac:dyDescent="0.3">
      <c r="A8" s="29" t="s">
        <v>795</v>
      </c>
      <c r="B8" s="30">
        <v>144750000</v>
      </c>
    </row>
    <row r="9" spans="1:8" ht="15.6" x14ac:dyDescent="0.3">
      <c r="A9" s="29" t="s">
        <v>801</v>
      </c>
      <c r="B9" s="30">
        <v>143250000</v>
      </c>
    </row>
    <row r="10" spans="1:8" ht="15.6" x14ac:dyDescent="0.3">
      <c r="A10" s="29" t="s">
        <v>794</v>
      </c>
      <c r="B10" s="30">
        <v>141750000</v>
      </c>
    </row>
    <row r="11" spans="1:8" ht="15.6" x14ac:dyDescent="0.3">
      <c r="A11" s="29" t="s">
        <v>793</v>
      </c>
      <c r="B11" s="30">
        <v>88250000</v>
      </c>
    </row>
    <row r="12" spans="1:8" ht="15.6" x14ac:dyDescent="0.3">
      <c r="A12" s="29" t="s">
        <v>824</v>
      </c>
      <c r="B12" s="30">
        <v>1749250000</v>
      </c>
    </row>
    <row r="16" spans="1:8" ht="15.6" x14ac:dyDescent="0.3">
      <c r="A16" s="27" t="s">
        <v>826</v>
      </c>
      <c r="B16" s="27" t="s">
        <v>827</v>
      </c>
      <c r="C16" s="28"/>
      <c r="D16" s="28"/>
      <c r="E16" s="28"/>
    </row>
    <row r="17" spans="1:5" ht="15.6" x14ac:dyDescent="0.3">
      <c r="A17" s="27" t="s">
        <v>823</v>
      </c>
      <c r="B17" s="28" t="s">
        <v>33</v>
      </c>
      <c r="C17" s="28" t="s">
        <v>19</v>
      </c>
      <c r="D17" s="28" t="s">
        <v>14</v>
      </c>
      <c r="E17" s="28" t="s">
        <v>824</v>
      </c>
    </row>
    <row r="18" spans="1:5" ht="15.6" x14ac:dyDescent="0.3">
      <c r="A18" s="29" t="s">
        <v>798</v>
      </c>
      <c r="B18" s="28">
        <v>18</v>
      </c>
      <c r="C18" s="28">
        <v>10</v>
      </c>
      <c r="D18" s="28">
        <v>24</v>
      </c>
      <c r="E18" s="28">
        <v>52</v>
      </c>
    </row>
    <row r="19" spans="1:5" ht="15.6" x14ac:dyDescent="0.3">
      <c r="A19" s="29" t="s">
        <v>795</v>
      </c>
      <c r="B19" s="28">
        <v>24</v>
      </c>
      <c r="C19" s="28">
        <v>8</v>
      </c>
      <c r="D19" s="28">
        <v>21</v>
      </c>
      <c r="E19" s="28">
        <v>53</v>
      </c>
    </row>
    <row r="20" spans="1:5" ht="15.6" x14ac:dyDescent="0.3">
      <c r="A20" s="29" t="s">
        <v>799</v>
      </c>
      <c r="B20" s="28">
        <v>20</v>
      </c>
      <c r="C20" s="28">
        <v>6</v>
      </c>
      <c r="D20" s="28">
        <v>26</v>
      </c>
      <c r="E20" s="28">
        <v>52</v>
      </c>
    </row>
    <row r="21" spans="1:5" ht="15.6" x14ac:dyDescent="0.3">
      <c r="A21" s="29" t="s">
        <v>800</v>
      </c>
      <c r="B21" s="28">
        <v>26</v>
      </c>
      <c r="C21" s="28">
        <v>5</v>
      </c>
      <c r="D21" s="28">
        <v>13</v>
      </c>
      <c r="E21" s="28">
        <v>44</v>
      </c>
    </row>
    <row r="22" spans="1:5" ht="15.6" x14ac:dyDescent="0.3">
      <c r="A22" s="29" t="s">
        <v>802</v>
      </c>
      <c r="B22" s="28">
        <v>32</v>
      </c>
      <c r="C22" s="28">
        <v>10</v>
      </c>
      <c r="D22" s="28">
        <v>45</v>
      </c>
      <c r="E22" s="28">
        <v>87</v>
      </c>
    </row>
    <row r="23" spans="1:5" ht="15.6" x14ac:dyDescent="0.3">
      <c r="A23" s="29" t="s">
        <v>794</v>
      </c>
      <c r="B23" s="28">
        <v>16</v>
      </c>
      <c r="C23" s="28">
        <v>5</v>
      </c>
      <c r="D23" s="28">
        <v>21</v>
      </c>
      <c r="E23" s="28">
        <v>42</v>
      </c>
    </row>
    <row r="24" spans="1:5" ht="15.6" x14ac:dyDescent="0.3">
      <c r="A24" s="29" t="s">
        <v>797</v>
      </c>
      <c r="B24" s="28">
        <v>24</v>
      </c>
      <c r="C24" s="28">
        <v>6</v>
      </c>
      <c r="D24" s="28">
        <v>33</v>
      </c>
      <c r="E24" s="28">
        <v>63</v>
      </c>
    </row>
    <row r="25" spans="1:5" ht="15.6" x14ac:dyDescent="0.3">
      <c r="A25" s="29" t="s">
        <v>796</v>
      </c>
      <c r="B25" s="28">
        <v>18</v>
      </c>
      <c r="C25" s="28">
        <v>9</v>
      </c>
      <c r="D25" s="28">
        <v>18</v>
      </c>
      <c r="E25" s="28">
        <v>45</v>
      </c>
    </row>
    <row r="26" spans="1:5" ht="15.6" x14ac:dyDescent="0.3">
      <c r="A26" s="29" t="s">
        <v>801</v>
      </c>
      <c r="B26" s="28">
        <v>14</v>
      </c>
      <c r="C26" s="28">
        <v>5</v>
      </c>
      <c r="D26" s="28">
        <v>17</v>
      </c>
      <c r="E26" s="28">
        <v>36</v>
      </c>
    </row>
    <row r="27" spans="1:5" ht="15.6" x14ac:dyDescent="0.3">
      <c r="A27" s="29" t="s">
        <v>793</v>
      </c>
      <c r="B27" s="28">
        <v>11</v>
      </c>
      <c r="C27" s="28">
        <v>5</v>
      </c>
      <c r="D27" s="28">
        <v>10</v>
      </c>
      <c r="E27" s="28">
        <v>26</v>
      </c>
    </row>
    <row r="28" spans="1:5" ht="15.6" x14ac:dyDescent="0.3">
      <c r="A28" s="29" t="s">
        <v>824</v>
      </c>
      <c r="B28" s="28">
        <v>203</v>
      </c>
      <c r="C28" s="28">
        <v>69</v>
      </c>
      <c r="D28" s="28">
        <v>228</v>
      </c>
      <c r="E28" s="28">
        <v>500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loans</vt:lpstr>
      <vt:lpstr>cleaning log</vt:lpstr>
      <vt:lpstr>Pivot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Kumari</cp:lastModifiedBy>
  <dcterms:created xsi:type="dcterms:W3CDTF">2026-03-11T08:24:52Z</dcterms:created>
  <dcterms:modified xsi:type="dcterms:W3CDTF">2026-04-13T11:10:54Z</dcterms:modified>
</cp:coreProperties>
</file>